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esktop\IOTB DATA ANALYTICS\EXCEL\PROJECTS\HR Analytics Capstone Project\"/>
    </mc:Choice>
  </mc:AlternateContent>
  <xr:revisionPtr revIDLastSave="0" documentId="13_ncr:1_{8BBE9C6F-8715-45CF-8768-9131209219AB}" xr6:coauthVersionLast="47" xr6:coauthVersionMax="47" xr10:uidLastSave="{00000000-0000-0000-0000-000000000000}"/>
  <bookViews>
    <workbookView xWindow="-120" yWindow="-120" windowWidth="20730" windowHeight="11040" firstSheet="4" activeTab="6" xr2:uid="{00000000-000D-0000-FFFF-FFFF00000000}"/>
  </bookViews>
  <sheets>
    <sheet name="Raw_Employee_Data" sheetId="1" r:id="rId1"/>
    <sheet name="Lookup_Departments" sheetId="2" r:id="rId2"/>
    <sheet name="Lookup_Performance" sheetId="3" r:id="rId3"/>
    <sheet name="Cleaned Data" sheetId="4" r:id="rId4"/>
    <sheet name="Analysis" sheetId="6" r:id="rId5"/>
    <sheet name="Charts" sheetId="7" r:id="rId6"/>
    <sheet name="Executive Dashboard" sheetId="9" r:id="rId7"/>
  </sheets>
  <definedNames>
    <definedName name="Slicer_Department_Name">#N/A</definedName>
    <definedName name="Slicer_Emp_ID">#N/A</definedName>
    <definedName name="Slicer_Employment_Status3">#N/A</definedName>
    <definedName name="Slicer_Performance_Ban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1" i="4" l="1"/>
  <c r="Q151" i="4" s="1"/>
  <c r="O151" i="4"/>
  <c r="N151" i="4" a="1"/>
  <c r="N151" i="4" s="1"/>
  <c r="H151" i="4"/>
  <c r="I151" i="4" s="1"/>
  <c r="F151" i="4"/>
  <c r="E151" i="4" s="1"/>
  <c r="D151" i="4"/>
  <c r="Q150" i="4"/>
  <c r="P150" i="4"/>
  <c r="O150" i="4"/>
  <c r="N150" i="4" a="1"/>
  <c r="N150" i="4" s="1"/>
  <c r="H150" i="4"/>
  <c r="I150" i="4" s="1"/>
  <c r="F150" i="4"/>
  <c r="E150" i="4"/>
  <c r="D150" i="4"/>
  <c r="Q149" i="4"/>
  <c r="P149" i="4"/>
  <c r="O149" i="4"/>
  <c r="N149" i="4" a="1"/>
  <c r="N149" i="4" s="1"/>
  <c r="H149" i="4"/>
  <c r="I149" i="4" s="1"/>
  <c r="F149" i="4"/>
  <c r="E149" i="4"/>
  <c r="D149" i="4"/>
  <c r="Q148" i="4"/>
  <c r="P148" i="4"/>
  <c r="O148" i="4"/>
  <c r="N148" i="4" a="1"/>
  <c r="N148" i="4" s="1"/>
  <c r="H148" i="4"/>
  <c r="I148" i="4" s="1"/>
  <c r="F148" i="4"/>
  <c r="E148" i="4"/>
  <c r="D148" i="4"/>
  <c r="Q147" i="4"/>
  <c r="P147" i="4"/>
  <c r="O147" i="4"/>
  <c r="N147" i="4" a="1"/>
  <c r="N147" i="4" s="1"/>
  <c r="H147" i="4"/>
  <c r="I147" i="4" s="1"/>
  <c r="F147" i="4"/>
  <c r="E147" i="4"/>
  <c r="D147" i="4"/>
  <c r="Q146" i="4"/>
  <c r="P146" i="4"/>
  <c r="O146" i="4"/>
  <c r="N146" i="4" a="1"/>
  <c r="N146" i="4" s="1"/>
  <c r="H146" i="4"/>
  <c r="I146" i="4" s="1"/>
  <c r="F146" i="4"/>
  <c r="E146" i="4"/>
  <c r="D146" i="4"/>
  <c r="Q145" i="4"/>
  <c r="P145" i="4"/>
  <c r="O145" i="4"/>
  <c r="N145" i="4" a="1"/>
  <c r="N145" i="4" s="1"/>
  <c r="H145" i="4"/>
  <c r="I145" i="4" s="1"/>
  <c r="F145" i="4"/>
  <c r="E145" i="4"/>
  <c r="D145" i="4"/>
  <c r="Q144" i="4"/>
  <c r="P144" i="4"/>
  <c r="O144" i="4"/>
  <c r="N144" i="4" a="1"/>
  <c r="N144" i="4" s="1"/>
  <c r="H144" i="4"/>
  <c r="I144" i="4" s="1"/>
  <c r="F144" i="4"/>
  <c r="E144" i="4"/>
  <c r="D144" i="4"/>
  <c r="Q143" i="4"/>
  <c r="P143" i="4"/>
  <c r="O143" i="4"/>
  <c r="N143" i="4" a="1"/>
  <c r="N143" i="4" s="1"/>
  <c r="H143" i="4"/>
  <c r="I143" i="4" s="1"/>
  <c r="F143" i="4"/>
  <c r="E143" i="4"/>
  <c r="D143" i="4"/>
  <c r="Q142" i="4"/>
  <c r="P142" i="4"/>
  <c r="O142" i="4"/>
  <c r="N142" i="4" a="1"/>
  <c r="N142" i="4" s="1"/>
  <c r="H142" i="4"/>
  <c r="I142" i="4" s="1"/>
  <c r="F142" i="4"/>
  <c r="E142" i="4"/>
  <c r="D142" i="4"/>
  <c r="Q141" i="4"/>
  <c r="P141" i="4"/>
  <c r="O141" i="4"/>
  <c r="N141" i="4" a="1"/>
  <c r="N141" i="4" s="1"/>
  <c r="H141" i="4"/>
  <c r="I141" i="4" s="1"/>
  <c r="F141" i="4"/>
  <c r="E141" i="4"/>
  <c r="D141" i="4"/>
  <c r="Q140" i="4"/>
  <c r="P140" i="4"/>
  <c r="O140" i="4"/>
  <c r="N140" i="4" a="1"/>
  <c r="N140" i="4" s="1"/>
  <c r="H140" i="4"/>
  <c r="I140" i="4" s="1"/>
  <c r="F140" i="4"/>
  <c r="E140" i="4"/>
  <c r="D140" i="4"/>
  <c r="Q139" i="4"/>
  <c r="P139" i="4"/>
  <c r="O139" i="4"/>
  <c r="N139" i="4" a="1"/>
  <c r="N139" i="4" s="1"/>
  <c r="H139" i="4"/>
  <c r="I139" i="4" s="1"/>
  <c r="F139" i="4"/>
  <c r="E139" i="4"/>
  <c r="D139" i="4"/>
  <c r="Q138" i="4"/>
  <c r="P138" i="4"/>
  <c r="O138" i="4"/>
  <c r="N138" i="4" a="1"/>
  <c r="N138" i="4" s="1"/>
  <c r="H138" i="4"/>
  <c r="I138" i="4" s="1"/>
  <c r="F138" i="4"/>
  <c r="E138" i="4"/>
  <c r="D138" i="4"/>
  <c r="Q137" i="4"/>
  <c r="P137" i="4"/>
  <c r="O137" i="4"/>
  <c r="N137" i="4" a="1"/>
  <c r="N137" i="4" s="1"/>
  <c r="H137" i="4"/>
  <c r="I137" i="4" s="1"/>
  <c r="F137" i="4"/>
  <c r="E137" i="4"/>
  <c r="D137" i="4"/>
  <c r="Q136" i="4"/>
  <c r="P136" i="4"/>
  <c r="O136" i="4"/>
  <c r="N136" i="4" a="1"/>
  <c r="N136" i="4" s="1"/>
  <c r="H136" i="4"/>
  <c r="I136" i="4" s="1"/>
  <c r="F136" i="4"/>
  <c r="E136" i="4"/>
  <c r="D136" i="4"/>
  <c r="Q135" i="4"/>
  <c r="P135" i="4"/>
  <c r="O135" i="4"/>
  <c r="N135" i="4" a="1"/>
  <c r="N135" i="4" s="1"/>
  <c r="H135" i="4"/>
  <c r="I135" i="4" s="1"/>
  <c r="F135" i="4"/>
  <c r="E135" i="4"/>
  <c r="D135" i="4"/>
  <c r="Q134" i="4"/>
  <c r="P134" i="4"/>
  <c r="O134" i="4"/>
  <c r="N134" i="4" a="1"/>
  <c r="N134" i="4" s="1"/>
  <c r="H134" i="4"/>
  <c r="I134" i="4" s="1"/>
  <c r="F134" i="4"/>
  <c r="E134" i="4"/>
  <c r="D134" i="4"/>
  <c r="Q133" i="4"/>
  <c r="P133" i="4"/>
  <c r="O133" i="4"/>
  <c r="N133" i="4" a="1"/>
  <c r="N133" i="4" s="1"/>
  <c r="H133" i="4"/>
  <c r="I133" i="4" s="1"/>
  <c r="F133" i="4"/>
  <c r="E133" i="4"/>
  <c r="D133" i="4"/>
  <c r="Q132" i="4"/>
  <c r="P132" i="4"/>
  <c r="O132" i="4"/>
  <c r="N132" i="4" a="1"/>
  <c r="N132" i="4" s="1"/>
  <c r="H132" i="4"/>
  <c r="I132" i="4" s="1"/>
  <c r="F132" i="4"/>
  <c r="E132" i="4"/>
  <c r="D132" i="4"/>
  <c r="Q131" i="4"/>
  <c r="P131" i="4"/>
  <c r="O131" i="4"/>
  <c r="N131" i="4" a="1"/>
  <c r="N131" i="4" s="1"/>
  <c r="H131" i="4"/>
  <c r="I131" i="4" s="1"/>
  <c r="F131" i="4"/>
  <c r="E131" i="4"/>
  <c r="D131" i="4"/>
  <c r="Q130" i="4"/>
  <c r="P130" i="4"/>
  <c r="O130" i="4"/>
  <c r="N130" i="4" a="1"/>
  <c r="N130" i="4" s="1"/>
  <c r="H130" i="4"/>
  <c r="I130" i="4" s="1"/>
  <c r="F130" i="4"/>
  <c r="E130" i="4"/>
  <c r="D130" i="4"/>
  <c r="Q129" i="4"/>
  <c r="P129" i="4"/>
  <c r="O129" i="4"/>
  <c r="N129" i="4" a="1"/>
  <c r="N129" i="4" s="1"/>
  <c r="H129" i="4"/>
  <c r="I129" i="4" s="1"/>
  <c r="F129" i="4"/>
  <c r="E129" i="4"/>
  <c r="D129" i="4"/>
  <c r="Q128" i="4"/>
  <c r="P128" i="4"/>
  <c r="O128" i="4"/>
  <c r="N128" i="4" a="1"/>
  <c r="N128" i="4" s="1"/>
  <c r="H128" i="4"/>
  <c r="I128" i="4" s="1"/>
  <c r="F128" i="4"/>
  <c r="E128" i="4"/>
  <c r="D128" i="4"/>
  <c r="Q127" i="4"/>
  <c r="P127" i="4"/>
  <c r="O127" i="4"/>
  <c r="N127" i="4" a="1"/>
  <c r="N127" i="4" s="1"/>
  <c r="H127" i="4"/>
  <c r="I127" i="4" s="1"/>
  <c r="F127" i="4"/>
  <c r="E127" i="4"/>
  <c r="D127" i="4"/>
  <c r="Q126" i="4"/>
  <c r="P126" i="4"/>
  <c r="O126" i="4"/>
  <c r="N126" i="4" a="1"/>
  <c r="N126" i="4" s="1"/>
  <c r="H126" i="4"/>
  <c r="I126" i="4" s="1"/>
  <c r="F126" i="4"/>
  <c r="E126" i="4"/>
  <c r="D126" i="4"/>
  <c r="Q125" i="4"/>
  <c r="P125" i="4"/>
  <c r="O125" i="4"/>
  <c r="N125" i="4" a="1"/>
  <c r="N125" i="4" s="1"/>
  <c r="H125" i="4"/>
  <c r="I125" i="4" s="1"/>
  <c r="F125" i="4"/>
  <c r="E125" i="4"/>
  <c r="D125" i="4"/>
  <c r="Q124" i="4"/>
  <c r="P124" i="4"/>
  <c r="O124" i="4"/>
  <c r="N124" i="4" a="1"/>
  <c r="N124" i="4" s="1"/>
  <c r="H124" i="4"/>
  <c r="I124" i="4" s="1"/>
  <c r="F124" i="4"/>
  <c r="E124" i="4"/>
  <c r="D124" i="4"/>
  <c r="Q123" i="4"/>
  <c r="P123" i="4"/>
  <c r="O123" i="4"/>
  <c r="N123" i="4" a="1"/>
  <c r="N123" i="4" s="1"/>
  <c r="H123" i="4"/>
  <c r="I123" i="4" s="1"/>
  <c r="F123" i="4"/>
  <c r="E123" i="4"/>
  <c r="D123" i="4"/>
  <c r="Q122" i="4"/>
  <c r="P122" i="4"/>
  <c r="O122" i="4"/>
  <c r="N122" i="4" a="1"/>
  <c r="N122" i="4" s="1"/>
  <c r="H122" i="4"/>
  <c r="I122" i="4" s="1"/>
  <c r="F122" i="4"/>
  <c r="E122" i="4"/>
  <c r="D122" i="4"/>
  <c r="Q121" i="4"/>
  <c r="P121" i="4"/>
  <c r="O121" i="4"/>
  <c r="N121" i="4" a="1"/>
  <c r="N121" i="4" s="1"/>
  <c r="H121" i="4"/>
  <c r="I121" i="4" s="1"/>
  <c r="F121" i="4"/>
  <c r="E121" i="4"/>
  <c r="D121" i="4"/>
  <c r="Q120" i="4"/>
  <c r="P120" i="4"/>
  <c r="O120" i="4"/>
  <c r="N120" i="4" a="1"/>
  <c r="N120" i="4" s="1"/>
  <c r="H120" i="4"/>
  <c r="I120" i="4" s="1"/>
  <c r="F120" i="4"/>
  <c r="E120" i="4"/>
  <c r="D120" i="4"/>
  <c r="Q119" i="4"/>
  <c r="P119" i="4"/>
  <c r="O119" i="4"/>
  <c r="N119" i="4" a="1"/>
  <c r="N119" i="4" s="1"/>
  <c r="H119" i="4"/>
  <c r="I119" i="4" s="1"/>
  <c r="F119" i="4"/>
  <c r="E119" i="4"/>
  <c r="D119" i="4"/>
  <c r="Q118" i="4"/>
  <c r="P118" i="4"/>
  <c r="O118" i="4"/>
  <c r="N118" i="4" a="1"/>
  <c r="N118" i="4" s="1"/>
  <c r="H118" i="4"/>
  <c r="I118" i="4" s="1"/>
  <c r="F118" i="4"/>
  <c r="E118" i="4"/>
  <c r="D118" i="4"/>
  <c r="Q117" i="4"/>
  <c r="P117" i="4"/>
  <c r="O117" i="4"/>
  <c r="N117" i="4" a="1"/>
  <c r="N117" i="4" s="1"/>
  <c r="H117" i="4"/>
  <c r="I117" i="4" s="1"/>
  <c r="F117" i="4"/>
  <c r="E117" i="4"/>
  <c r="D117" i="4"/>
  <c r="Q116" i="4"/>
  <c r="P116" i="4"/>
  <c r="O116" i="4"/>
  <c r="N116" i="4" a="1"/>
  <c r="N116" i="4" s="1"/>
  <c r="H116" i="4"/>
  <c r="I116" i="4" s="1"/>
  <c r="F116" i="4"/>
  <c r="E116" i="4"/>
  <c r="D116" i="4"/>
  <c r="Q115" i="4"/>
  <c r="P115" i="4"/>
  <c r="O115" i="4"/>
  <c r="N115" i="4" a="1"/>
  <c r="N115" i="4" s="1"/>
  <c r="H115" i="4"/>
  <c r="I115" i="4" s="1"/>
  <c r="F115" i="4"/>
  <c r="E115" i="4"/>
  <c r="D115" i="4"/>
  <c r="Q114" i="4"/>
  <c r="P114" i="4"/>
  <c r="O114" i="4"/>
  <c r="N114" i="4" a="1"/>
  <c r="N114" i="4" s="1"/>
  <c r="H114" i="4"/>
  <c r="I114" i="4" s="1"/>
  <c r="F114" i="4"/>
  <c r="E114" i="4"/>
  <c r="D114" i="4"/>
  <c r="Q113" i="4"/>
  <c r="P113" i="4"/>
  <c r="O113" i="4"/>
  <c r="N113" i="4" a="1"/>
  <c r="N113" i="4" s="1"/>
  <c r="H113" i="4"/>
  <c r="I113" i="4" s="1"/>
  <c r="F113" i="4"/>
  <c r="E113" i="4"/>
  <c r="D113" i="4"/>
  <c r="Q112" i="4"/>
  <c r="P112" i="4"/>
  <c r="O112" i="4"/>
  <c r="N112" i="4" a="1"/>
  <c r="N112" i="4" s="1"/>
  <c r="H112" i="4"/>
  <c r="I112" i="4" s="1"/>
  <c r="F112" i="4"/>
  <c r="E112" i="4"/>
  <c r="D112" i="4"/>
  <c r="Q111" i="4"/>
  <c r="P111" i="4"/>
  <c r="O111" i="4"/>
  <c r="N111" i="4" a="1"/>
  <c r="N111" i="4" s="1"/>
  <c r="H111" i="4"/>
  <c r="I111" i="4" s="1"/>
  <c r="F111" i="4"/>
  <c r="E111" i="4"/>
  <c r="D111" i="4"/>
  <c r="Q110" i="4"/>
  <c r="P110" i="4"/>
  <c r="O110" i="4"/>
  <c r="N110" i="4" a="1"/>
  <c r="N110" i="4" s="1"/>
  <c r="H110" i="4"/>
  <c r="I110" i="4" s="1"/>
  <c r="F110" i="4"/>
  <c r="E110" i="4"/>
  <c r="D110" i="4"/>
  <c r="Q109" i="4"/>
  <c r="P109" i="4"/>
  <c r="O109" i="4"/>
  <c r="N109" i="4" a="1"/>
  <c r="N109" i="4" s="1"/>
  <c r="H109" i="4"/>
  <c r="I109" i="4" s="1"/>
  <c r="F109" i="4"/>
  <c r="E109" i="4"/>
  <c r="D109" i="4"/>
  <c r="Q108" i="4"/>
  <c r="P108" i="4"/>
  <c r="O108" i="4"/>
  <c r="N108" i="4" a="1"/>
  <c r="N108" i="4" s="1"/>
  <c r="H108" i="4"/>
  <c r="I108" i="4" s="1"/>
  <c r="F108" i="4"/>
  <c r="E108" i="4"/>
  <c r="D108" i="4"/>
  <c r="Q107" i="4"/>
  <c r="P107" i="4"/>
  <c r="O107" i="4"/>
  <c r="N107" i="4" a="1"/>
  <c r="N107" i="4" s="1"/>
  <c r="H107" i="4"/>
  <c r="I107" i="4" s="1"/>
  <c r="F107" i="4"/>
  <c r="E107" i="4"/>
  <c r="D107" i="4"/>
  <c r="Q106" i="4"/>
  <c r="P106" i="4"/>
  <c r="O106" i="4"/>
  <c r="N106" i="4" a="1"/>
  <c r="N106" i="4" s="1"/>
  <c r="H106" i="4"/>
  <c r="I106" i="4" s="1"/>
  <c r="F106" i="4"/>
  <c r="E106" i="4"/>
  <c r="D106" i="4"/>
  <c r="Q105" i="4"/>
  <c r="P105" i="4"/>
  <c r="O105" i="4"/>
  <c r="N105" i="4" a="1"/>
  <c r="N105" i="4" s="1"/>
  <c r="H105" i="4"/>
  <c r="I105" i="4" s="1"/>
  <c r="F105" i="4"/>
  <c r="E105" i="4"/>
  <c r="D105" i="4"/>
  <c r="Q104" i="4"/>
  <c r="P104" i="4"/>
  <c r="O104" i="4"/>
  <c r="N104" i="4" a="1"/>
  <c r="N104" i="4" s="1"/>
  <c r="H104" i="4"/>
  <c r="I104" i="4" s="1"/>
  <c r="F104" i="4"/>
  <c r="E104" i="4"/>
  <c r="D104" i="4"/>
  <c r="Q103" i="4"/>
  <c r="P103" i="4"/>
  <c r="O103" i="4"/>
  <c r="N103" i="4" a="1"/>
  <c r="N103" i="4" s="1"/>
  <c r="H103" i="4"/>
  <c r="I103" i="4" s="1"/>
  <c r="F103" i="4"/>
  <c r="E103" i="4"/>
  <c r="D103" i="4"/>
  <c r="Q102" i="4"/>
  <c r="P102" i="4"/>
  <c r="O102" i="4"/>
  <c r="N102" i="4" a="1"/>
  <c r="N102" i="4" s="1"/>
  <c r="H102" i="4"/>
  <c r="I102" i="4" s="1"/>
  <c r="F102" i="4"/>
  <c r="E102" i="4"/>
  <c r="D102" i="4"/>
  <c r="Q101" i="4"/>
  <c r="P101" i="4"/>
  <c r="O101" i="4"/>
  <c r="N101" i="4" a="1"/>
  <c r="N101" i="4" s="1"/>
  <c r="H101" i="4"/>
  <c r="I101" i="4" s="1"/>
  <c r="F101" i="4"/>
  <c r="E101" i="4"/>
  <c r="D101" i="4"/>
  <c r="Q100" i="4"/>
  <c r="P100" i="4"/>
  <c r="O100" i="4"/>
  <c r="N100" i="4" a="1"/>
  <c r="N100" i="4" s="1"/>
  <c r="H100" i="4"/>
  <c r="I100" i="4" s="1"/>
  <c r="F100" i="4"/>
  <c r="E100" i="4"/>
  <c r="D100" i="4"/>
  <c r="Q99" i="4"/>
  <c r="P99" i="4"/>
  <c r="O99" i="4"/>
  <c r="N99" i="4" a="1"/>
  <c r="N99" i="4" s="1"/>
  <c r="H99" i="4"/>
  <c r="I99" i="4" s="1"/>
  <c r="F99" i="4"/>
  <c r="E99" i="4"/>
  <c r="D99" i="4"/>
  <c r="Q98" i="4"/>
  <c r="P98" i="4"/>
  <c r="O98" i="4"/>
  <c r="N98" i="4" a="1"/>
  <c r="N98" i="4" s="1"/>
  <c r="H98" i="4"/>
  <c r="I98" i="4" s="1"/>
  <c r="F98" i="4"/>
  <c r="E98" i="4"/>
  <c r="D98" i="4"/>
  <c r="Q97" i="4"/>
  <c r="P97" i="4"/>
  <c r="O97" i="4"/>
  <c r="N97" i="4" a="1"/>
  <c r="N97" i="4" s="1"/>
  <c r="H97" i="4"/>
  <c r="I97" i="4" s="1"/>
  <c r="F97" i="4"/>
  <c r="E97" i="4"/>
  <c r="D97" i="4"/>
  <c r="Q96" i="4"/>
  <c r="P96" i="4"/>
  <c r="O96" i="4"/>
  <c r="N96" i="4" a="1"/>
  <c r="N96" i="4" s="1"/>
  <c r="H96" i="4"/>
  <c r="I96" i="4" s="1"/>
  <c r="F96" i="4"/>
  <c r="E96" i="4"/>
  <c r="D96" i="4"/>
  <c r="Q95" i="4"/>
  <c r="P95" i="4"/>
  <c r="O95" i="4"/>
  <c r="N95" i="4" a="1"/>
  <c r="N95" i="4" s="1"/>
  <c r="H95" i="4"/>
  <c r="I95" i="4" s="1"/>
  <c r="F95" i="4"/>
  <c r="E95" i="4"/>
  <c r="D95" i="4"/>
  <c r="Q94" i="4"/>
  <c r="P94" i="4"/>
  <c r="O94" i="4"/>
  <c r="N94" i="4" a="1"/>
  <c r="N94" i="4" s="1"/>
  <c r="H94" i="4"/>
  <c r="I94" i="4" s="1"/>
  <c r="F94" i="4"/>
  <c r="E94" i="4"/>
  <c r="D94" i="4"/>
  <c r="Q93" i="4"/>
  <c r="P93" i="4"/>
  <c r="O93" i="4"/>
  <c r="N93" i="4" a="1"/>
  <c r="N93" i="4" s="1"/>
  <c r="H93" i="4"/>
  <c r="I93" i="4" s="1"/>
  <c r="F93" i="4"/>
  <c r="E93" i="4"/>
  <c r="D93" i="4"/>
  <c r="Q92" i="4"/>
  <c r="P92" i="4"/>
  <c r="O92" i="4"/>
  <c r="N92" i="4" a="1"/>
  <c r="N92" i="4" s="1"/>
  <c r="H92" i="4"/>
  <c r="I92" i="4" s="1"/>
  <c r="F92" i="4"/>
  <c r="E92" i="4"/>
  <c r="D92" i="4"/>
  <c r="Q91" i="4"/>
  <c r="P91" i="4"/>
  <c r="O91" i="4"/>
  <c r="N91" i="4" a="1"/>
  <c r="N91" i="4" s="1"/>
  <c r="H91" i="4"/>
  <c r="I91" i="4" s="1"/>
  <c r="F91" i="4"/>
  <c r="E91" i="4"/>
  <c r="D91" i="4"/>
  <c r="Q90" i="4"/>
  <c r="P90" i="4"/>
  <c r="O90" i="4"/>
  <c r="N90" i="4" a="1"/>
  <c r="N90" i="4" s="1"/>
  <c r="H90" i="4"/>
  <c r="I90" i="4" s="1"/>
  <c r="F90" i="4"/>
  <c r="E90" i="4"/>
  <c r="D90" i="4"/>
  <c r="Q89" i="4"/>
  <c r="P89" i="4"/>
  <c r="O89" i="4"/>
  <c r="N89" i="4" a="1"/>
  <c r="N89" i="4" s="1"/>
  <c r="H89" i="4"/>
  <c r="I89" i="4" s="1"/>
  <c r="F89" i="4"/>
  <c r="E89" i="4"/>
  <c r="D89" i="4"/>
  <c r="Q88" i="4"/>
  <c r="P88" i="4"/>
  <c r="O88" i="4"/>
  <c r="N88" i="4" a="1"/>
  <c r="N88" i="4" s="1"/>
  <c r="H88" i="4"/>
  <c r="I88" i="4" s="1"/>
  <c r="F88" i="4"/>
  <c r="E88" i="4"/>
  <c r="D88" i="4"/>
  <c r="Q87" i="4"/>
  <c r="P87" i="4"/>
  <c r="O87" i="4"/>
  <c r="N87" i="4" a="1"/>
  <c r="N87" i="4" s="1"/>
  <c r="H87" i="4"/>
  <c r="I87" i="4" s="1"/>
  <c r="F87" i="4"/>
  <c r="E87" i="4"/>
  <c r="D87" i="4"/>
  <c r="Q86" i="4"/>
  <c r="P86" i="4"/>
  <c r="O86" i="4"/>
  <c r="N86" i="4" a="1"/>
  <c r="N86" i="4" s="1"/>
  <c r="H86" i="4"/>
  <c r="I86" i="4" s="1"/>
  <c r="F86" i="4"/>
  <c r="E86" i="4"/>
  <c r="D86" i="4"/>
  <c r="Q85" i="4"/>
  <c r="P85" i="4"/>
  <c r="O85" i="4"/>
  <c r="N85" i="4" a="1"/>
  <c r="N85" i="4" s="1"/>
  <c r="H85" i="4"/>
  <c r="I85" i="4" s="1"/>
  <c r="F85" i="4"/>
  <c r="E85" i="4"/>
  <c r="D85" i="4"/>
  <c r="Q84" i="4"/>
  <c r="P84" i="4"/>
  <c r="O84" i="4"/>
  <c r="N84" i="4" a="1"/>
  <c r="N84" i="4" s="1"/>
  <c r="H84" i="4"/>
  <c r="I84" i="4" s="1"/>
  <c r="F84" i="4"/>
  <c r="E84" i="4"/>
  <c r="D84" i="4"/>
  <c r="Q83" i="4"/>
  <c r="P83" i="4"/>
  <c r="O83" i="4"/>
  <c r="N83" i="4" a="1"/>
  <c r="N83" i="4" s="1"/>
  <c r="H83" i="4"/>
  <c r="I83" i="4" s="1"/>
  <c r="F83" i="4"/>
  <c r="E83" i="4"/>
  <c r="D83" i="4"/>
  <c r="Q82" i="4"/>
  <c r="P82" i="4"/>
  <c r="O82" i="4"/>
  <c r="N82" i="4" a="1"/>
  <c r="N82" i="4" s="1"/>
  <c r="H82" i="4"/>
  <c r="I82" i="4" s="1"/>
  <c r="F82" i="4"/>
  <c r="E82" i="4"/>
  <c r="D82" i="4"/>
  <c r="P81" i="4"/>
  <c r="Q81" i="4" s="1"/>
  <c r="O81" i="4"/>
  <c r="N81" i="4" a="1"/>
  <c r="N81" i="4" s="1"/>
  <c r="H81" i="4"/>
  <c r="I81" i="4" s="1"/>
  <c r="F81" i="4"/>
  <c r="E81" i="4" s="1"/>
  <c r="D81" i="4"/>
  <c r="Q80" i="4"/>
  <c r="P80" i="4"/>
  <c r="O80" i="4"/>
  <c r="N80" i="4" a="1"/>
  <c r="N80" i="4" s="1"/>
  <c r="H80" i="4"/>
  <c r="I80" i="4" s="1"/>
  <c r="F80" i="4"/>
  <c r="E80" i="4" s="1"/>
  <c r="D80" i="4"/>
  <c r="P79" i="4"/>
  <c r="Q79" i="4" s="1"/>
  <c r="O79" i="4"/>
  <c r="N79" i="4" a="1"/>
  <c r="N79" i="4" s="1"/>
  <c r="H79" i="4"/>
  <c r="I79" i="4" s="1"/>
  <c r="F79" i="4"/>
  <c r="E79" i="4"/>
  <c r="D79" i="4"/>
  <c r="P78" i="4"/>
  <c r="Q78" i="4" s="1"/>
  <c r="O78" i="4"/>
  <c r="N78" i="4" a="1"/>
  <c r="N78" i="4" s="1"/>
  <c r="H78" i="4"/>
  <c r="I78" i="4" s="1"/>
  <c r="F78" i="4"/>
  <c r="E78" i="4"/>
  <c r="D78" i="4"/>
  <c r="P77" i="4"/>
  <c r="Q77" i="4" s="1"/>
  <c r="O77" i="4"/>
  <c r="N77" i="4" a="1"/>
  <c r="N77" i="4" s="1"/>
  <c r="H77" i="4"/>
  <c r="I77" i="4" s="1"/>
  <c r="F77" i="4"/>
  <c r="E77" i="4"/>
  <c r="D77" i="4"/>
  <c r="Q76" i="4"/>
  <c r="P76" i="4"/>
  <c r="O76" i="4"/>
  <c r="N76" i="4" a="1"/>
  <c r="N76" i="4" s="1"/>
  <c r="H76" i="4"/>
  <c r="I76" i="4" s="1"/>
  <c r="F76" i="4"/>
  <c r="E76" i="4" s="1"/>
  <c r="D76" i="4"/>
  <c r="P75" i="4"/>
  <c r="Q75" i="4" s="1"/>
  <c r="O75" i="4"/>
  <c r="N75" i="4" a="1"/>
  <c r="N75" i="4" s="1"/>
  <c r="H75" i="4"/>
  <c r="I75" i="4" s="1"/>
  <c r="F75" i="4"/>
  <c r="E75" i="4" s="1"/>
  <c r="D75" i="4"/>
  <c r="P74" i="4"/>
  <c r="Q74" i="4" s="1"/>
  <c r="O74" i="4"/>
  <c r="N74" i="4" a="1"/>
  <c r="N74" i="4" s="1"/>
  <c r="H74" i="4"/>
  <c r="I74" i="4" s="1"/>
  <c r="F74" i="4"/>
  <c r="E74" i="4" s="1"/>
  <c r="D74" i="4"/>
  <c r="P73" i="4"/>
  <c r="Q73" i="4" s="1"/>
  <c r="O73" i="4"/>
  <c r="N73" i="4" a="1"/>
  <c r="N73" i="4" s="1"/>
  <c r="H73" i="4"/>
  <c r="I73" i="4" s="1"/>
  <c r="F73" i="4"/>
  <c r="E73" i="4"/>
  <c r="D73" i="4"/>
  <c r="P72" i="4"/>
  <c r="Q72" i="4" s="1"/>
  <c r="O72" i="4"/>
  <c r="N72" i="4" a="1"/>
  <c r="N72" i="4" s="1"/>
  <c r="H72" i="4"/>
  <c r="I72" i="4" s="1"/>
  <c r="F72" i="4"/>
  <c r="E72" i="4" s="1"/>
  <c r="D72" i="4"/>
  <c r="P71" i="4"/>
  <c r="Q71" i="4" s="1"/>
  <c r="O71" i="4"/>
  <c r="N71" i="4" a="1"/>
  <c r="N71" i="4" s="1"/>
  <c r="H71" i="4"/>
  <c r="I71" i="4" s="1"/>
  <c r="F71" i="4"/>
  <c r="E71" i="4" s="1"/>
  <c r="D71" i="4"/>
  <c r="Q70" i="4"/>
  <c r="P70" i="4"/>
  <c r="O70" i="4"/>
  <c r="N70" i="4" a="1"/>
  <c r="N70" i="4" s="1"/>
  <c r="H70" i="4"/>
  <c r="I70" i="4" s="1"/>
  <c r="F70" i="4"/>
  <c r="E70" i="4" s="1"/>
  <c r="D70" i="4"/>
  <c r="P69" i="4"/>
  <c r="Q69" i="4" s="1"/>
  <c r="O69" i="4"/>
  <c r="N69" i="4" a="1"/>
  <c r="N69" i="4" s="1"/>
  <c r="H69" i="4"/>
  <c r="I69" i="4" s="1"/>
  <c r="F69" i="4"/>
  <c r="E69" i="4" s="1"/>
  <c r="D69" i="4"/>
  <c r="P68" i="4"/>
  <c r="Q68" i="4" s="1"/>
  <c r="O68" i="4"/>
  <c r="N68" i="4" a="1"/>
  <c r="N68" i="4" s="1"/>
  <c r="H68" i="4"/>
  <c r="I68" i="4" s="1"/>
  <c r="F68" i="4"/>
  <c r="E68" i="4" s="1"/>
  <c r="D68" i="4"/>
  <c r="P67" i="4"/>
  <c r="Q67" i="4" s="1"/>
  <c r="O67" i="4"/>
  <c r="N67" i="4" a="1"/>
  <c r="N67" i="4" s="1"/>
  <c r="H67" i="4"/>
  <c r="I67" i="4" s="1"/>
  <c r="F67" i="4"/>
  <c r="E67" i="4"/>
  <c r="D67" i="4"/>
  <c r="Q66" i="4"/>
  <c r="P66" i="4"/>
  <c r="O66" i="4"/>
  <c r="N66" i="4" a="1"/>
  <c r="N66" i="4" s="1"/>
  <c r="H66" i="4"/>
  <c r="I66" i="4" s="1"/>
  <c r="F66" i="4"/>
  <c r="E66" i="4"/>
  <c r="D66" i="4"/>
  <c r="P65" i="4"/>
  <c r="Q65" i="4" s="1"/>
  <c r="O65" i="4"/>
  <c r="N65" i="4" a="1"/>
  <c r="N65" i="4" s="1"/>
  <c r="H65" i="4"/>
  <c r="I65" i="4" s="1"/>
  <c r="F65" i="4"/>
  <c r="E65" i="4" s="1"/>
  <c r="D65" i="4"/>
  <c r="Q64" i="4"/>
  <c r="P64" i="4"/>
  <c r="O64" i="4"/>
  <c r="N64" i="4" a="1"/>
  <c r="N64" i="4" s="1"/>
  <c r="H64" i="4"/>
  <c r="I64" i="4" s="1"/>
  <c r="F64" i="4"/>
  <c r="E64" i="4" s="1"/>
  <c r="D64" i="4"/>
  <c r="P63" i="4"/>
  <c r="Q63" i="4" s="1"/>
  <c r="O63" i="4"/>
  <c r="N63" i="4" a="1"/>
  <c r="N63" i="4" s="1"/>
  <c r="H63" i="4"/>
  <c r="I63" i="4" s="1"/>
  <c r="F63" i="4"/>
  <c r="E63" i="4" s="1"/>
  <c r="D63" i="4"/>
  <c r="P62" i="4"/>
  <c r="Q62" i="4" s="1"/>
  <c r="O62" i="4"/>
  <c r="N62" i="4" a="1"/>
  <c r="N62" i="4" s="1"/>
  <c r="H62" i="4"/>
  <c r="I62" i="4" s="1"/>
  <c r="F62" i="4"/>
  <c r="E62" i="4" s="1"/>
  <c r="D62" i="4"/>
  <c r="P61" i="4"/>
  <c r="Q61" i="4" s="1"/>
  <c r="O61" i="4"/>
  <c r="N61" i="4" a="1"/>
  <c r="N61" i="4" s="1"/>
  <c r="H61" i="4"/>
  <c r="I61" i="4" s="1"/>
  <c r="F61" i="4"/>
  <c r="E61" i="4"/>
  <c r="D61" i="4"/>
  <c r="P60" i="4"/>
  <c r="Q60" i="4" s="1"/>
  <c r="O60" i="4"/>
  <c r="N60" i="4" a="1"/>
  <c r="N60" i="4" s="1"/>
  <c r="H60" i="4"/>
  <c r="I60" i="4" s="1"/>
  <c r="F60" i="4"/>
  <c r="E60" i="4"/>
  <c r="D60" i="4"/>
  <c r="P59" i="4"/>
  <c r="Q59" i="4" s="1"/>
  <c r="O59" i="4"/>
  <c r="N59" i="4" a="1"/>
  <c r="N59" i="4" s="1"/>
  <c r="H59" i="4"/>
  <c r="I59" i="4" s="1"/>
  <c r="F59" i="4"/>
  <c r="E59" i="4"/>
  <c r="D59" i="4"/>
  <c r="Q58" i="4"/>
  <c r="P58" i="4"/>
  <c r="O58" i="4"/>
  <c r="N58" i="4" a="1"/>
  <c r="N58" i="4" s="1"/>
  <c r="H58" i="4"/>
  <c r="I58" i="4" s="1"/>
  <c r="F58" i="4"/>
  <c r="E58" i="4"/>
  <c r="D58" i="4"/>
  <c r="Q57" i="4"/>
  <c r="P57" i="4"/>
  <c r="O57" i="4"/>
  <c r="N57" i="4" a="1"/>
  <c r="N57" i="4" s="1"/>
  <c r="H57" i="4"/>
  <c r="I57" i="4" s="1"/>
  <c r="F57" i="4"/>
  <c r="E57" i="4"/>
  <c r="D57" i="4"/>
  <c r="Q56" i="4"/>
  <c r="P56" i="4"/>
  <c r="O56" i="4"/>
  <c r="N56" i="4" a="1"/>
  <c r="N56" i="4" s="1"/>
  <c r="H56" i="4"/>
  <c r="I56" i="4" s="1"/>
  <c r="F56" i="4"/>
  <c r="E56" i="4"/>
  <c r="D56" i="4"/>
  <c r="Q55" i="4"/>
  <c r="P55" i="4"/>
  <c r="O55" i="4"/>
  <c r="N55" i="4" a="1"/>
  <c r="N55" i="4" s="1"/>
  <c r="H55" i="4"/>
  <c r="I55" i="4" s="1"/>
  <c r="F55" i="4"/>
  <c r="E55" i="4"/>
  <c r="D55" i="4"/>
  <c r="Q54" i="4"/>
  <c r="P54" i="4"/>
  <c r="O54" i="4"/>
  <c r="N54" i="4" a="1"/>
  <c r="N54" i="4" s="1"/>
  <c r="H54" i="4"/>
  <c r="I54" i="4" s="1"/>
  <c r="F54" i="4"/>
  <c r="E54" i="4"/>
  <c r="D54" i="4"/>
  <c r="Q53" i="4"/>
  <c r="P53" i="4"/>
  <c r="O53" i="4"/>
  <c r="N53" i="4" a="1"/>
  <c r="N53" i="4" s="1"/>
  <c r="H53" i="4"/>
  <c r="I53" i="4" s="1"/>
  <c r="F53" i="4"/>
  <c r="E53" i="4"/>
  <c r="D53" i="4"/>
  <c r="Q52" i="4"/>
  <c r="P52" i="4"/>
  <c r="O52" i="4"/>
  <c r="N52" i="4" a="1"/>
  <c r="N52" i="4" s="1"/>
  <c r="H52" i="4"/>
  <c r="I52" i="4" s="1"/>
  <c r="F52" i="4"/>
  <c r="E52" i="4"/>
  <c r="D52" i="4"/>
  <c r="Q51" i="4"/>
  <c r="P51" i="4"/>
  <c r="O51" i="4"/>
  <c r="N51" i="4" a="1"/>
  <c r="N51" i="4" s="1"/>
  <c r="H51" i="4"/>
  <c r="I51" i="4" s="1"/>
  <c r="F51" i="4"/>
  <c r="E51" i="4"/>
  <c r="D51" i="4"/>
  <c r="Q50" i="4"/>
  <c r="P50" i="4"/>
  <c r="O50" i="4"/>
  <c r="N50" i="4" a="1"/>
  <c r="N50" i="4" s="1"/>
  <c r="H50" i="4"/>
  <c r="I50" i="4" s="1"/>
  <c r="F50" i="4"/>
  <c r="E50" i="4"/>
  <c r="D50" i="4"/>
  <c r="Q49" i="4"/>
  <c r="P49" i="4"/>
  <c r="O49" i="4"/>
  <c r="N49" i="4" a="1"/>
  <c r="N49" i="4" s="1"/>
  <c r="H49" i="4"/>
  <c r="I49" i="4" s="1"/>
  <c r="F49" i="4"/>
  <c r="E49" i="4"/>
  <c r="D49" i="4"/>
  <c r="Q48" i="4"/>
  <c r="P48" i="4"/>
  <c r="O48" i="4"/>
  <c r="N48" i="4" a="1"/>
  <c r="N48" i="4" s="1"/>
  <c r="H48" i="4"/>
  <c r="I48" i="4" s="1"/>
  <c r="F48" i="4"/>
  <c r="E48" i="4"/>
  <c r="D48" i="4"/>
  <c r="Q47" i="4"/>
  <c r="P47" i="4"/>
  <c r="O47" i="4"/>
  <c r="N47" i="4" a="1"/>
  <c r="N47" i="4" s="1"/>
  <c r="H47" i="4"/>
  <c r="I47" i="4" s="1"/>
  <c r="F47" i="4"/>
  <c r="E47" i="4"/>
  <c r="D47" i="4"/>
  <c r="Q46" i="4"/>
  <c r="P46" i="4"/>
  <c r="O46" i="4"/>
  <c r="N46" i="4" a="1"/>
  <c r="N46" i="4" s="1"/>
  <c r="H46" i="4"/>
  <c r="I46" i="4" s="1"/>
  <c r="F46" i="4"/>
  <c r="E46" i="4"/>
  <c r="D46" i="4"/>
  <c r="Q45" i="4"/>
  <c r="P45" i="4"/>
  <c r="O45" i="4"/>
  <c r="N45" i="4" a="1"/>
  <c r="N45" i="4" s="1"/>
  <c r="H45" i="4"/>
  <c r="I45" i="4" s="1"/>
  <c r="F45" i="4"/>
  <c r="E45" i="4"/>
  <c r="D45" i="4"/>
  <c r="Q44" i="4"/>
  <c r="P44" i="4"/>
  <c r="O44" i="4"/>
  <c r="N44" i="4" a="1"/>
  <c r="N44" i="4" s="1"/>
  <c r="H44" i="4"/>
  <c r="I44" i="4" s="1"/>
  <c r="F44" i="4"/>
  <c r="E44" i="4"/>
  <c r="D44" i="4"/>
  <c r="Q43" i="4"/>
  <c r="P43" i="4"/>
  <c r="O43" i="4"/>
  <c r="N43" i="4" a="1"/>
  <c r="N43" i="4" s="1"/>
  <c r="H43" i="4"/>
  <c r="I43" i="4" s="1"/>
  <c r="F43" i="4"/>
  <c r="E43" i="4"/>
  <c r="D43" i="4"/>
  <c r="Q42" i="4"/>
  <c r="P42" i="4"/>
  <c r="O42" i="4"/>
  <c r="N42" i="4" a="1"/>
  <c r="N42" i="4" s="1"/>
  <c r="H42" i="4"/>
  <c r="I42" i="4" s="1"/>
  <c r="F42" i="4"/>
  <c r="E42" i="4"/>
  <c r="D42" i="4"/>
  <c r="Q41" i="4"/>
  <c r="P41" i="4"/>
  <c r="O41" i="4"/>
  <c r="N41" i="4" a="1"/>
  <c r="N41" i="4" s="1"/>
  <c r="H41" i="4"/>
  <c r="I41" i="4" s="1"/>
  <c r="F41" i="4"/>
  <c r="E41" i="4"/>
  <c r="D41" i="4"/>
  <c r="Q40" i="4"/>
  <c r="P40" i="4"/>
  <c r="O40" i="4"/>
  <c r="N40" i="4" a="1"/>
  <c r="N40" i="4" s="1"/>
  <c r="H40" i="4"/>
  <c r="I40" i="4" s="1"/>
  <c r="F40" i="4"/>
  <c r="E40" i="4"/>
  <c r="D40" i="4"/>
  <c r="Q39" i="4"/>
  <c r="P39" i="4"/>
  <c r="O39" i="4"/>
  <c r="N39" i="4" a="1"/>
  <c r="N39" i="4" s="1"/>
  <c r="H39" i="4"/>
  <c r="I39" i="4" s="1"/>
  <c r="F39" i="4"/>
  <c r="E39" i="4"/>
  <c r="D39" i="4"/>
  <c r="Q38" i="4"/>
  <c r="P38" i="4"/>
  <c r="O38" i="4"/>
  <c r="N38" i="4" a="1"/>
  <c r="N38" i="4" s="1"/>
  <c r="H38" i="4"/>
  <c r="I38" i="4" s="1"/>
  <c r="F38" i="4"/>
  <c r="E38" i="4"/>
  <c r="D38" i="4"/>
  <c r="Q37" i="4"/>
  <c r="P37" i="4"/>
  <c r="O37" i="4"/>
  <c r="N37" i="4" a="1"/>
  <c r="N37" i="4" s="1"/>
  <c r="H37" i="4"/>
  <c r="I37" i="4" s="1"/>
  <c r="F37" i="4"/>
  <c r="E37" i="4"/>
  <c r="D37" i="4"/>
  <c r="Q36" i="4"/>
  <c r="P36" i="4"/>
  <c r="O36" i="4"/>
  <c r="N36" i="4" a="1"/>
  <c r="N36" i="4" s="1"/>
  <c r="H36" i="4"/>
  <c r="I36" i="4" s="1"/>
  <c r="F36" i="4"/>
  <c r="E36" i="4"/>
  <c r="D36" i="4"/>
  <c r="Q35" i="4"/>
  <c r="P35" i="4"/>
  <c r="O35" i="4"/>
  <c r="N35" i="4" a="1"/>
  <c r="N35" i="4" s="1"/>
  <c r="H35" i="4"/>
  <c r="I35" i="4" s="1"/>
  <c r="F35" i="4"/>
  <c r="E35" i="4"/>
  <c r="D35" i="4"/>
  <c r="Q34" i="4"/>
  <c r="P34" i="4"/>
  <c r="O34" i="4"/>
  <c r="N34" i="4" a="1"/>
  <c r="N34" i="4" s="1"/>
  <c r="H34" i="4"/>
  <c r="I34" i="4" s="1"/>
  <c r="F34" i="4"/>
  <c r="E34" i="4"/>
  <c r="D34" i="4"/>
  <c r="Q33" i="4"/>
  <c r="P33" i="4"/>
  <c r="O33" i="4"/>
  <c r="N33" i="4" a="1"/>
  <c r="N33" i="4" s="1"/>
  <c r="H33" i="4"/>
  <c r="I33" i="4" s="1"/>
  <c r="F33" i="4"/>
  <c r="E33" i="4"/>
  <c r="D33" i="4"/>
  <c r="Q32" i="4"/>
  <c r="P32" i="4"/>
  <c r="O32" i="4"/>
  <c r="N32" i="4" a="1"/>
  <c r="N32" i="4" s="1"/>
  <c r="H32" i="4"/>
  <c r="I32" i="4" s="1"/>
  <c r="F32" i="4"/>
  <c r="E32" i="4"/>
  <c r="D32" i="4"/>
  <c r="Q31" i="4"/>
  <c r="P31" i="4"/>
  <c r="O31" i="4"/>
  <c r="N31" i="4" a="1"/>
  <c r="N31" i="4" s="1"/>
  <c r="H31" i="4"/>
  <c r="I31" i="4" s="1"/>
  <c r="F31" i="4"/>
  <c r="E31" i="4"/>
  <c r="D31" i="4"/>
  <c r="Q30" i="4"/>
  <c r="P30" i="4"/>
  <c r="O30" i="4"/>
  <c r="N30" i="4" a="1"/>
  <c r="N30" i="4" s="1"/>
  <c r="H30" i="4"/>
  <c r="I30" i="4" s="1"/>
  <c r="F30" i="4"/>
  <c r="E30" i="4"/>
  <c r="D30" i="4"/>
  <c r="Q29" i="4"/>
  <c r="P29" i="4"/>
  <c r="O29" i="4"/>
  <c r="N29" i="4" a="1"/>
  <c r="N29" i="4" s="1"/>
  <c r="H29" i="4"/>
  <c r="I29" i="4" s="1"/>
  <c r="F29" i="4"/>
  <c r="E29" i="4"/>
  <c r="D29" i="4"/>
  <c r="Q28" i="4"/>
  <c r="P28" i="4"/>
  <c r="O28" i="4"/>
  <c r="N28" i="4" a="1"/>
  <c r="N28" i="4" s="1"/>
  <c r="H28" i="4"/>
  <c r="I28" i="4" s="1"/>
  <c r="F28" i="4"/>
  <c r="E28" i="4"/>
  <c r="D28" i="4"/>
  <c r="Q27" i="4"/>
  <c r="P27" i="4"/>
  <c r="O27" i="4"/>
  <c r="N27" i="4" a="1"/>
  <c r="N27" i="4" s="1"/>
  <c r="H27" i="4"/>
  <c r="I27" i="4" s="1"/>
  <c r="F27" i="4"/>
  <c r="E27" i="4"/>
  <c r="D27" i="4"/>
  <c r="Q26" i="4"/>
  <c r="P26" i="4"/>
  <c r="O26" i="4"/>
  <c r="N26" i="4" a="1"/>
  <c r="N26" i="4" s="1"/>
  <c r="H26" i="4"/>
  <c r="I26" i="4" s="1"/>
  <c r="F26" i="4"/>
  <c r="E26" i="4"/>
  <c r="D26" i="4"/>
  <c r="Q25" i="4"/>
  <c r="P25" i="4"/>
  <c r="O25" i="4"/>
  <c r="N25" i="4" a="1"/>
  <c r="N25" i="4" s="1"/>
  <c r="H25" i="4"/>
  <c r="I25" i="4" s="1"/>
  <c r="F25" i="4"/>
  <c r="E25" i="4"/>
  <c r="D25" i="4"/>
  <c r="Q24" i="4"/>
  <c r="P24" i="4"/>
  <c r="O24" i="4"/>
  <c r="N24" i="4" a="1"/>
  <c r="N24" i="4" s="1"/>
  <c r="H24" i="4"/>
  <c r="I24" i="4" s="1"/>
  <c r="F24" i="4"/>
  <c r="E24" i="4"/>
  <c r="D24" i="4"/>
  <c r="Q23" i="4"/>
  <c r="P23" i="4"/>
  <c r="O23" i="4"/>
  <c r="N23" i="4" a="1"/>
  <c r="N23" i="4" s="1"/>
  <c r="H23" i="4"/>
  <c r="I23" i="4" s="1"/>
  <c r="F23" i="4"/>
  <c r="E23" i="4"/>
  <c r="D23" i="4"/>
  <c r="Q22" i="4"/>
  <c r="P22" i="4"/>
  <c r="O22" i="4"/>
  <c r="N22" i="4" a="1"/>
  <c r="N22" i="4" s="1"/>
  <c r="H22" i="4"/>
  <c r="I22" i="4" s="1"/>
  <c r="F22" i="4"/>
  <c r="E22" i="4"/>
  <c r="D22" i="4"/>
  <c r="Q21" i="4"/>
  <c r="P21" i="4"/>
  <c r="O21" i="4"/>
  <c r="N21" i="4" a="1"/>
  <c r="N21" i="4" s="1"/>
  <c r="H21" i="4"/>
  <c r="I21" i="4" s="1"/>
  <c r="F21" i="4"/>
  <c r="E21" i="4"/>
  <c r="D21" i="4"/>
  <c r="Q20" i="4"/>
  <c r="P20" i="4"/>
  <c r="O20" i="4"/>
  <c r="N20" i="4" a="1"/>
  <c r="N20" i="4" s="1"/>
  <c r="H20" i="4"/>
  <c r="I20" i="4" s="1"/>
  <c r="F20" i="4"/>
  <c r="E20" i="4"/>
  <c r="D20" i="4"/>
  <c r="Q19" i="4"/>
  <c r="P19" i="4"/>
  <c r="O19" i="4"/>
  <c r="N19" i="4" a="1"/>
  <c r="N19" i="4" s="1"/>
  <c r="H19" i="4"/>
  <c r="I19" i="4" s="1"/>
  <c r="F19" i="4"/>
  <c r="E19" i="4"/>
  <c r="D19" i="4"/>
  <c r="Q18" i="4"/>
  <c r="P18" i="4"/>
  <c r="O18" i="4"/>
  <c r="N18" i="4" a="1"/>
  <c r="N18" i="4" s="1"/>
  <c r="H18" i="4"/>
  <c r="I18" i="4" s="1"/>
  <c r="F18" i="4"/>
  <c r="E18" i="4"/>
  <c r="D18" i="4"/>
  <c r="Q17" i="4"/>
  <c r="P17" i="4"/>
  <c r="O17" i="4"/>
  <c r="N17" i="4" a="1"/>
  <c r="N17" i="4" s="1"/>
  <c r="H17" i="4"/>
  <c r="I17" i="4" s="1"/>
  <c r="F17" i="4"/>
  <c r="E17" i="4"/>
  <c r="D17" i="4"/>
  <c r="Q16" i="4"/>
  <c r="P16" i="4"/>
  <c r="O16" i="4"/>
  <c r="N16" i="4" a="1"/>
  <c r="N16" i="4" s="1"/>
  <c r="H16" i="4"/>
  <c r="I16" i="4" s="1"/>
  <c r="F16" i="4"/>
  <c r="E16" i="4"/>
  <c r="D16" i="4"/>
  <c r="Q15" i="4"/>
  <c r="P15" i="4"/>
  <c r="O15" i="4"/>
  <c r="N15" i="4" a="1"/>
  <c r="N15" i="4" s="1"/>
  <c r="H15" i="4"/>
  <c r="I15" i="4" s="1"/>
  <c r="F15" i="4"/>
  <c r="E15" i="4"/>
  <c r="D15" i="4"/>
  <c r="Q14" i="4"/>
  <c r="P14" i="4"/>
  <c r="O14" i="4"/>
  <c r="N14" i="4" a="1"/>
  <c r="N14" i="4" s="1"/>
  <c r="H14" i="4"/>
  <c r="I14" i="4" s="1"/>
  <c r="F14" i="4"/>
  <c r="E14" i="4"/>
  <c r="D14" i="4"/>
  <c r="Q13" i="4"/>
  <c r="P13" i="4"/>
  <c r="O13" i="4"/>
  <c r="N13" i="4" a="1"/>
  <c r="N13" i="4" s="1"/>
  <c r="H13" i="4"/>
  <c r="I13" i="4" s="1"/>
  <c r="F13" i="4"/>
  <c r="E13" i="4"/>
  <c r="D13" i="4"/>
  <c r="Q12" i="4"/>
  <c r="P12" i="4"/>
  <c r="O12" i="4"/>
  <c r="N12" i="4" a="1"/>
  <c r="N12" i="4" s="1"/>
  <c r="H12" i="4"/>
  <c r="I12" i="4" s="1"/>
  <c r="F12" i="4"/>
  <c r="E12" i="4"/>
  <c r="D12" i="4"/>
  <c r="Q11" i="4"/>
  <c r="P11" i="4"/>
  <c r="O11" i="4"/>
  <c r="N11" i="4" a="1"/>
  <c r="N11" i="4" s="1"/>
  <c r="H11" i="4"/>
  <c r="I11" i="4" s="1"/>
  <c r="F11" i="4"/>
  <c r="E11" i="4"/>
  <c r="D11" i="4"/>
  <c r="Q10" i="4"/>
  <c r="P10" i="4"/>
  <c r="O10" i="4"/>
  <c r="N10" i="4" a="1"/>
  <c r="N10" i="4" s="1"/>
  <c r="H10" i="4"/>
  <c r="I10" i="4" s="1"/>
  <c r="F10" i="4"/>
  <c r="E10" i="4"/>
  <c r="D10" i="4"/>
  <c r="Q9" i="4"/>
  <c r="P9" i="4"/>
  <c r="O9" i="4"/>
  <c r="N9" i="4" a="1"/>
  <c r="N9" i="4" s="1"/>
  <c r="H9" i="4"/>
  <c r="I9" i="4" s="1"/>
  <c r="F9" i="4"/>
  <c r="E9" i="4"/>
  <c r="D9" i="4"/>
  <c r="Q8" i="4"/>
  <c r="P8" i="4"/>
  <c r="O8" i="4"/>
  <c r="N8" i="4" a="1"/>
  <c r="N8" i="4" s="1"/>
  <c r="H8" i="4"/>
  <c r="I8" i="4" s="1"/>
  <c r="F8" i="4"/>
  <c r="E8" i="4"/>
  <c r="D8" i="4"/>
  <c r="Q7" i="4"/>
  <c r="P7" i="4"/>
  <c r="O7" i="4"/>
  <c r="N7" i="4" a="1"/>
  <c r="N7" i="4" s="1"/>
  <c r="H7" i="4"/>
  <c r="I7" i="4" s="1"/>
  <c r="F7" i="4"/>
  <c r="E7" i="4"/>
  <c r="D7" i="4"/>
  <c r="Q6" i="4"/>
  <c r="P6" i="4"/>
  <c r="O6" i="4"/>
  <c r="N6" i="4" a="1"/>
  <c r="N6" i="4" s="1"/>
  <c r="H6" i="4"/>
  <c r="I6" i="4" s="1"/>
  <c r="F6" i="4"/>
  <c r="E6" i="4"/>
  <c r="D6" i="4"/>
  <c r="Q5" i="4"/>
  <c r="P5" i="4"/>
  <c r="O5" i="4"/>
  <c r="N5" i="4" a="1"/>
  <c r="N5" i="4" s="1"/>
  <c r="H5" i="4"/>
  <c r="I5" i="4" s="1"/>
  <c r="F5" i="4"/>
  <c r="E5" i="4"/>
  <c r="D5" i="4"/>
  <c r="Q4" i="4"/>
  <c r="P4" i="4"/>
  <c r="O4" i="4"/>
  <c r="N4" i="4" a="1"/>
  <c r="N4" i="4" s="1"/>
  <c r="H4" i="4"/>
  <c r="I4" i="4" s="1"/>
  <c r="F4" i="4"/>
  <c r="E4" i="4"/>
  <c r="D4" i="4"/>
  <c r="Q3" i="4"/>
  <c r="P3" i="4"/>
  <c r="O3" i="4"/>
  <c r="N3" i="4" a="1"/>
  <c r="N3" i="4" s="1"/>
  <c r="H3" i="4"/>
  <c r="I3" i="4" s="1"/>
  <c r="F3" i="4"/>
  <c r="E3" i="4"/>
  <c r="D3" i="4"/>
  <c r="Q2" i="4"/>
  <c r="P2" i="4"/>
  <c r="O2" i="4"/>
  <c r="N2" i="4" a="1"/>
  <c r="N2" i="4" s="1"/>
  <c r="H2" i="4"/>
  <c r="I2" i="4" s="1"/>
  <c r="F2" i="4"/>
  <c r="E2" i="4" s="1"/>
  <c r="D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<sst xmlns="http://schemas.openxmlformats.org/spreadsheetml/2006/main" count="1711" uniqueCount="305">
  <si>
    <t>Emp ID</t>
  </si>
  <si>
    <t>First_Name</t>
  </si>
  <si>
    <t>Last_Name</t>
  </si>
  <si>
    <t>Dept Code</t>
  </si>
  <si>
    <t>Hire Date</t>
  </si>
  <si>
    <t>Salary</t>
  </si>
  <si>
    <t>Employment Status</t>
  </si>
  <si>
    <t>EMP127</t>
  </si>
  <si>
    <t>Emily</t>
  </si>
  <si>
    <t>Brown</t>
  </si>
  <si>
    <t>IT02</t>
  </si>
  <si>
    <t>active</t>
  </si>
  <si>
    <t>EMP046</t>
  </si>
  <si>
    <t>Richard</t>
  </si>
  <si>
    <t>Hernandez</t>
  </si>
  <si>
    <t>MKT04</t>
  </si>
  <si>
    <t xml:space="preserve"> ACTIVE </t>
  </si>
  <si>
    <t>EMP134</t>
  </si>
  <si>
    <t>Gonzalez</t>
  </si>
  <si>
    <t xml:space="preserve"> IT02 </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</si>
  <si>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</si>
  <si>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</si>
  <si>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</si>
  <si>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</si>
  <si>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</si>
  <si>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</si>
  <si>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</si>
  <si>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</si>
  <si>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</si>
  <si>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</si>
  <si>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</si>
  <si>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</si>
  <si>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</si>
  <si>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</si>
  <si>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</si>
  <si>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</si>
  <si>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</si>
  <si>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</si>
  <si>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</si>
  <si>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</si>
  <si>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</si>
  <si>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</si>
  <si>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</si>
  <si>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</si>
  <si>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</si>
  <si>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</si>
  <si>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</si>
  <si>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</si>
  <si>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</si>
  <si>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</si>
  <si>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</si>
  <si>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</si>
  <si>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</si>
  <si>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</si>
  <si>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</si>
  <si>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</si>
  <si>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</si>
  <si>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</si>
  <si>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</si>
  <si>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</si>
  <si>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</si>
  <si>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</si>
  <si>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</si>
  <si>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</si>
  <si>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</si>
  <si>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</si>
  <si>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</si>
  <si>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</si>
  <si>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</si>
  <si>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</si>
  <si>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</si>
  <si>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</si>
  <si>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</si>
  <si>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</si>
  <si>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</si>
  <si>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</si>
  <si>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</si>
  <si>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</si>
  <si>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</si>
  <si>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EMP146</t>
  </si>
  <si>
    <t>it02</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</si>
  <si>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</si>
  <si>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</si>
  <si>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</si>
  <si>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</si>
  <si>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</si>
  <si>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</si>
  <si>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</si>
  <si>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</si>
  <si>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</si>
  <si>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</si>
  <si>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</si>
  <si>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</si>
  <si>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</si>
  <si>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</si>
  <si>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</si>
  <si>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</si>
  <si>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</si>
  <si>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</si>
  <si>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</si>
  <si>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</si>
  <si>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</si>
  <si>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</si>
  <si>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</si>
  <si>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</si>
  <si>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</si>
  <si>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</si>
  <si>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</si>
  <si>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</si>
  <si>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</si>
  <si>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Resigned</t>
  </si>
  <si>
    <t>EMP037</t>
  </si>
  <si>
    <t>EMP077</t>
  </si>
  <si>
    <t>07/14/2016</t>
  </si>
  <si>
    <t>EMP023</t>
  </si>
  <si>
    <t>EMP133</t>
  </si>
  <si>
    <t>10-Jul-19</t>
  </si>
  <si>
    <t>EMP141</t>
  </si>
  <si>
    <t>EMP012</t>
  </si>
  <si>
    <t>EMP080</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</si>
  <si>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</si>
  <si>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</si>
  <si>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</si>
  <si>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</si>
  <si>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</si>
  <si>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</si>
  <si>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</si>
  <si>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</si>
  <si>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</si>
  <si>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</si>
  <si>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</si>
  <si>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</si>
  <si>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</si>
  <si>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</si>
  <si>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</si>
  <si>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</si>
  <si>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</si>
  <si>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</si>
  <si>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EMP011</t>
  </si>
  <si>
    <t>EMP091</t>
  </si>
  <si>
    <t>EMP145</t>
  </si>
  <si>
    <t>11/11/2016</t>
  </si>
  <si>
    <t>EMP001</t>
  </si>
  <si>
    <t>24-Mar-17</t>
  </si>
  <si>
    <t>EMP113</t>
  </si>
  <si>
    <t>05-May-19</t>
  </si>
  <si>
    <t>EMP065</t>
  </si>
  <si>
    <t xml:space="preserve"> HR01 </t>
  </si>
  <si>
    <t>EMP045</t>
  </si>
  <si>
    <t>EMP083</t>
  </si>
  <si>
    <t>William</t>
  </si>
  <si>
    <t>EMP029</t>
  </si>
  <si>
    <t>EMP041</t>
  </si>
  <si>
    <t>EMP026</t>
  </si>
  <si>
    <t>EMP024</t>
  </si>
  <si>
    <t>ops06</t>
  </si>
  <si>
    <t>11-Oct-16</t>
  </si>
  <si>
    <t>EMP111</t>
  </si>
  <si>
    <t>EMP040</t>
  </si>
  <si>
    <t>02/19/2017</t>
  </si>
  <si>
    <t>EMP086</t>
  </si>
  <si>
    <t>09/07/2021</t>
  </si>
  <si>
    <t>EMP124</t>
  </si>
  <si>
    <t>EMP132</t>
  </si>
  <si>
    <t>EMP048</t>
  </si>
  <si>
    <t>09/29/2018</t>
  </si>
  <si>
    <t>EMP114</t>
  </si>
  <si>
    <t>EMP062</t>
  </si>
  <si>
    <t>EMP074</t>
  </si>
  <si>
    <t>07-Feb-21</t>
  </si>
  <si>
    <t>EMP034</t>
  </si>
  <si>
    <t>10/04/2023</t>
  </si>
  <si>
    <t>EMP105</t>
  </si>
  <si>
    <t>EMP118</t>
  </si>
  <si>
    <t>EMP063</t>
  </si>
  <si>
    <t>27-Nov-19</t>
  </si>
  <si>
    <t>EMP094</t>
  </si>
  <si>
    <t>25-May-17</t>
  </si>
  <si>
    <t>EMP097</t>
  </si>
  <si>
    <t>EMP054</t>
  </si>
  <si>
    <t>EMP006</t>
  </si>
  <si>
    <t>EMP110</t>
  </si>
  <si>
    <t>EMP147</t>
  </si>
  <si>
    <t>EMP050</t>
  </si>
  <si>
    <t>EMP036</t>
  </si>
  <si>
    <t>EMP081</t>
  </si>
  <si>
    <t>EMP078</t>
  </si>
  <si>
    <t>EMP035</t>
  </si>
  <si>
    <t>03/08/2019</t>
  </si>
  <si>
    <t>EMP047</t>
  </si>
  <si>
    <t>11-Mar-15</t>
  </si>
  <si>
    <t>EMP008</t>
  </si>
  <si>
    <t>19-Feb-17</t>
  </si>
  <si>
    <t>EMP044</t>
  </si>
  <si>
    <t>EMP071</t>
  </si>
  <si>
    <t>EMP115</t>
  </si>
  <si>
    <t>EMP092</t>
  </si>
  <si>
    <t>05/22/2016</t>
  </si>
  <si>
    <t>EMP084</t>
  </si>
  <si>
    <t>EMP142</t>
  </si>
  <si>
    <t>EMP143</t>
  </si>
  <si>
    <t>13-Nov-16</t>
  </si>
  <si>
    <t>EMP090</t>
  </si>
  <si>
    <t>EMP009</t>
  </si>
  <si>
    <t>EMP014</t>
  </si>
  <si>
    <t>13-Aug-21</t>
  </si>
  <si>
    <t>EMP060</t>
  </si>
  <si>
    <t>EMP135</t>
  </si>
  <si>
    <t>05-Jul-22</t>
  </si>
  <si>
    <t>EMP004</t>
  </si>
  <si>
    <t>07/10/2016</t>
  </si>
  <si>
    <t>EMP018</t>
  </si>
  <si>
    <t>EMP039</t>
  </si>
  <si>
    <t>05/10/2017</t>
  </si>
  <si>
    <t>EMP073</t>
  </si>
  <si>
    <t>EMP138</t>
  </si>
  <si>
    <t>04/20/2023</t>
  </si>
  <si>
    <t>EMP007</t>
  </si>
  <si>
    <t>EMP144</t>
  </si>
  <si>
    <t>24-Oct-21</t>
  </si>
  <si>
    <t>EMP101</t>
  </si>
  <si>
    <t>EMP003</t>
  </si>
  <si>
    <t>EMP121</t>
  </si>
  <si>
    <t>10-Aug-20</t>
  </si>
  <si>
    <t>EMP064</t>
  </si>
  <si>
    <t>EMP116</t>
  </si>
  <si>
    <t>24-Mar-18</t>
  </si>
  <si>
    <t>EMP055</t>
  </si>
  <si>
    <t>EMP108</t>
  </si>
  <si>
    <t>EMP051</t>
  </si>
  <si>
    <t>04-Mar-16</t>
  </si>
  <si>
    <t>EMP059</t>
  </si>
  <si>
    <t>EMP049</t>
  </si>
  <si>
    <t>28-Jul-17</t>
  </si>
  <si>
    <t>EMP089</t>
  </si>
  <si>
    <t>05/11/2023</t>
  </si>
  <si>
    <t>EMP022</t>
  </si>
  <si>
    <t>19-Mar-22</t>
  </si>
  <si>
    <t>EMP058</t>
  </si>
  <si>
    <t>EMP130</t>
  </si>
  <si>
    <t>08/29/2021</t>
  </si>
  <si>
    <t>EMP038</t>
  </si>
  <si>
    <t>EMP148</t>
  </si>
  <si>
    <t>EMP002</t>
  </si>
  <si>
    <t>03-Oct-17</t>
  </si>
  <si>
    <t>EMP053</t>
  </si>
  <si>
    <t>10/22/2015</t>
  </si>
  <si>
    <t>EMP131</t>
  </si>
  <si>
    <t>EMP104</t>
  </si>
  <si>
    <t>EMP100</t>
  </si>
  <si>
    <t>EMP117</t>
  </si>
  <si>
    <t>EMP088</t>
  </si>
  <si>
    <t>EMP075</t>
  </si>
  <si>
    <t>EMP122</t>
  </si>
  <si>
    <t>01/12/2019</t>
  </si>
  <si>
    <t>EMP021</t>
  </si>
  <si>
    <t>EMP072</t>
  </si>
  <si>
    <t>EMP107</t>
  </si>
  <si>
    <t>EMP093</t>
  </si>
  <si>
    <t>03-Nov-16</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</si>
  <si>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</si>
  <si>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</si>
  <si>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</si>
  <si>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</si>
  <si>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</si>
  <si>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</si>
  <si>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</si>
  <si>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</si>
  <si>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</si>
  <si>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</si>
  <si>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</si>
  <si>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</si>
  <si>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</si>
  <si>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</si>
  <si>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</si>
  <si>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</si>
  <si>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</si>
  <si>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</si>
  <si>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Department Code</t>
  </si>
  <si>
    <t>Full Name</t>
  </si>
  <si>
    <t>Department Name</t>
  </si>
  <si>
    <t>Performance Band</t>
  </si>
  <si>
    <t>Performance Score</t>
  </si>
  <si>
    <t>Bonus Percentage</t>
  </si>
  <si>
    <t>Eligible Bonus Amount</t>
  </si>
  <si>
    <t>Year of Service</t>
  </si>
  <si>
    <t>Hire Date2</t>
  </si>
  <si>
    <t>Row Labels</t>
  </si>
  <si>
    <t>Grand Total</t>
  </si>
  <si>
    <t>Count of Emp ID</t>
  </si>
  <si>
    <t>Sum of Salary</t>
  </si>
  <si>
    <t>Total Employee</t>
  </si>
  <si>
    <t>Total Salary</t>
  </si>
  <si>
    <t>Attrition Rate by Department</t>
  </si>
  <si>
    <t>Employment _Status</t>
  </si>
  <si>
    <t>Column Labels</t>
  </si>
  <si>
    <t>Performance By Status</t>
  </si>
  <si>
    <t>Average of Performance Score</t>
  </si>
  <si>
    <t>Bonus Payout</t>
  </si>
  <si>
    <t>Sum of Eligible Bonus Amount</t>
  </si>
  <si>
    <t>Attrition by Performance Band</t>
  </si>
  <si>
    <t>Average Salary by Performance Band</t>
  </si>
  <si>
    <t>Average of Salary</t>
  </si>
  <si>
    <t>Employee by Service Year</t>
  </si>
  <si>
    <t>Average of Year of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</si>
</sst>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gt;=1000000000]&quot;$&quot;0.0,,,&quot;B&quot;;[&gt;=1000000]&quot;$&quot;0.0,,&quot;M&quot;;&quot;$&quot;#,##0"/>
    <numFmt numFmtId="167" formatCode="0\ &quot;Years&quot;"/>
  </numFmts>
  <fonts count="5" x14ac:knownFonts="1">
    <font>
      <sz val="11"/>
      <color theme="1"/>
      <name val="Calibri"/>
      <family val="2"/>
      <scheme val="minor"/>
    </font>
    <font>
      <b/>
      <sz val="11"/>
      <name val="Calibri"/>
      <family val="2"/>
    </font>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4" tint="0.79998168889431442"/>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0" borderId="3" xfId="0" applyFont="1" applyBorder="1" applyAlignment="1">
      <alignment horizontal="left" vertical="top"/>
    </xf>
    <xf numFmtId="0" fontId="1" fillId="0" borderId="1" xfId="0" applyFont="1" applyBorder="1" applyAlignment="1">
      <alignment horizontal="left" vertical="top"/>
    </xf>
    <xf numFmtId="14" fontId="1" fillId="0" borderId="1" xfId="0" applyNumberFormat="1" applyFont="1" applyBorder="1" applyAlignment="1">
      <alignment horizontal="left" vertical="top"/>
    </xf>
    <xf numFmtId="164" fontId="1" fillId="0" borderId="1" xfId="0" applyNumberFormat="1" applyFont="1" applyBorder="1" applyAlignment="1">
      <alignment horizontal="left" vertical="top"/>
    </xf>
    <xf numFmtId="0" fontId="1" fillId="0" borderId="2" xfId="0" applyFont="1" applyBorder="1" applyAlignment="1">
      <alignment horizontal="left" vertical="top"/>
    </xf>
    <xf numFmtId="0" fontId="0" fillId="0" borderId="0" xfId="0" applyAlignment="1">
      <alignment horizontal="left"/>
    </xf>
    <xf numFmtId="9" fontId="1" fillId="0" borderId="3" xfId="1" applyFont="1" applyFill="1" applyBorder="1" applyAlignment="1">
      <alignment horizontal="left" vertical="top"/>
    </xf>
    <xf numFmtId="9" fontId="0" fillId="0" borderId="0" xfId="1" applyFont="1"/>
    <xf numFmtId="165" fontId="0" fillId="0" borderId="0" xfId="0" applyNumberFormat="1"/>
    <xf numFmtId="1" fontId="1" fillId="0" borderId="1" xfId="0" applyNumberFormat="1" applyFont="1" applyBorder="1" applyAlignment="1">
      <alignment horizontal="left" vertical="top"/>
    </xf>
    <xf numFmtId="1" fontId="0" fillId="0" borderId="0" xfId="0" applyNumberFormat="1"/>
    <xf numFmtId="0" fontId="0" fillId="0" borderId="0" xfId="0" pivotButton="1"/>
    <xf numFmtId="166" fontId="0" fillId="0" borderId="0" xfId="0" applyNumberFormat="1"/>
    <xf numFmtId="10" fontId="0" fillId="0" borderId="0" xfId="0" applyNumberFormat="1"/>
    <xf numFmtId="167" fontId="0" fillId="0" borderId="0" xfId="0" applyNumberFormat="1" applyAlignment="1">
      <alignment horizontal="left"/>
    </xf>
    <xf numFmtId="0" fontId="4" fillId="3" borderId="4" xfId="0" applyFont="1" applyFill="1" applyBorder="1"/>
    <xf numFmtId="167" fontId="1" fillId="0" borderId="1" xfId="0" applyNumberFormat="1" applyFont="1" applyBorder="1" applyAlignment="1">
      <alignment horizontal="left" vertical="top"/>
    </xf>
    <xf numFmtId="167" fontId="0" fillId="0" borderId="0" xfId="0" applyNumberFormat="1"/>
    <xf numFmtId="166" fontId="4" fillId="3" borderId="4" xfId="0" applyNumberFormat="1" applyFont="1" applyFill="1" applyBorder="1"/>
    <xf numFmtId="10" fontId="4" fillId="3" borderId="4" xfId="0" applyNumberFormat="1" applyFont="1" applyFill="1" applyBorder="1"/>
    <xf numFmtId="0" fontId="3"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59">
    <dxf>
      <numFmt numFmtId="1" formatCode="0"/>
    </dxf>
    <dxf>
      <numFmt numFmtId="1" formatCode="0"/>
    </dxf>
    <dxf>
      <numFmt numFmtId="167" formatCode="0\ &quot;Years&quot;"/>
    </dxf>
    <dxf>
      <numFmt numFmtId="166" formatCode="[&gt;=1000000000]&quot;$&quot;0.0,,,&quot;B&quot;;[&gt;=1000000]&quot;$&quot;0.0,,&quot;M&quot;;&quot;$&quot;#,##0"/>
    </dxf>
    <dxf>
      <numFmt numFmtId="0" formatCode="General"/>
    </dxf>
    <dxf>
      <numFmt numFmtId="14" formatCode="0.00%"/>
    </dxf>
    <dxf>
      <numFmt numFmtId="166" formatCode="[&gt;=1000000000]&quot;$&quot;0.0,,,&quot;B&quot;;[&gt;=1000000]&quot;$&quot;0.0,,&quot;M&quot;;&quot;$&quot;#,##0"/>
    </dxf>
    <dxf>
      <numFmt numFmtId="166" formatCode="[&gt;=1000000000]&quot;$&quot;0.0,,,&quot;B&quot;;[&gt;=1000000]&quot;$&quot;0.0,,&quot;M&quot;;&quot;$&quot;#,##0"/>
    </dxf>
    <dxf>
      <numFmt numFmtId="165" formatCode="0.0"/>
    </dxf>
    <dxf>
      <numFmt numFmtId="165" formatCode="0.0"/>
    </dxf>
    <dxf>
      <numFmt numFmtId="1" formatCode="0"/>
    </dxf>
    <dxf>
      <numFmt numFmtId="1" formatCode="0"/>
    </dxf>
    <dxf>
      <numFmt numFmtId="167" formatCode="0\ &quot;Years&quot;"/>
    </dxf>
    <dxf>
      <numFmt numFmtId="166" formatCode="[&gt;=1000000000]&quot;$&quot;0.0,,,&quot;B&quot;;[&gt;=1000000]&quot;$&quot;0.0,,&quot;M&quot;;&quot;$&quot;#,##0"/>
    </dxf>
    <dxf>
      <numFmt numFmtId="0" formatCode="General"/>
    </dxf>
    <dxf>
      <numFmt numFmtId="14" formatCode="0.00%"/>
    </dxf>
    <dxf>
      <numFmt numFmtId="166" formatCode="[&gt;=1000000000]&quot;$&quot;0.0,,,&quot;B&quot;;[&gt;=1000000]&quot;$&quot;0.0,,&quot;M&quot;;&quot;$&quot;#,##0"/>
    </dxf>
    <dxf>
      <numFmt numFmtId="166" formatCode="[&gt;=1000000000]&quot;$&quot;0.0,,,&quot;B&quot;;[&gt;=1000000]&quot;$&quot;0.0,,&quot;M&quot;;&quot;$&quot;#,##0"/>
    </dxf>
    <dxf>
      <numFmt numFmtId="165" formatCode="0.0"/>
    </dxf>
    <dxf>
      <numFmt numFmtId="165" formatCode="0.0"/>
    </dxf>
    <dxf>
      <numFmt numFmtId="1" formatCode="0"/>
    </dxf>
    <dxf>
      <numFmt numFmtId="1" formatCode="0"/>
    </dxf>
    <dxf>
      <numFmt numFmtId="167" formatCode="0\ &quot;Years&quot;"/>
    </dxf>
    <dxf>
      <numFmt numFmtId="166" formatCode="[&gt;=1000000000]&quot;$&quot;0.0,,,&quot;B&quot;;[&gt;=1000000]&quot;$&quot;0.0,,&quot;M&quot;;&quot;$&quot;#,##0"/>
    </dxf>
    <dxf>
      <numFmt numFmtId="0" formatCode="General"/>
    </dxf>
    <dxf>
      <numFmt numFmtId="14" formatCode="0.00%"/>
    </dxf>
    <dxf>
      <numFmt numFmtId="166" formatCode="[&gt;=1000000000]&quot;$&quot;0.0,,,&quot;B&quot;;[&gt;=1000000]&quot;$&quot;0.0,,&quot;M&quot;;&quot;$&quot;#,##0"/>
    </dxf>
    <dxf>
      <numFmt numFmtId="166" formatCode="[&gt;=1000000000]&quot;$&quot;0.0,,,&quot;B&quot;;[&gt;=1000000]&quot;$&quot;0.0,,&quot;M&quot;;&quot;$&quot;#,##0"/>
    </dxf>
    <dxf>
      <numFmt numFmtId="165" formatCode="0.0"/>
    </dxf>
    <dxf>
      <numFmt numFmtId="165" formatCode="0.0"/>
    </dxf>
    <dxf>
      <numFmt numFmtId="1" formatCode="0"/>
    </dxf>
    <dxf>
      <numFmt numFmtId="1" formatCode="0"/>
    </dxf>
    <dxf>
      <numFmt numFmtId="167" formatCode="0\ &quot;Years&quot;"/>
    </dxf>
    <dxf>
      <numFmt numFmtId="166" formatCode="[&gt;=1000000000]&quot;$&quot;0.0,,,&quot;B&quot;;[&gt;=1000000]&quot;$&quot;0.0,,&quot;M&quot;;&quot;$&quot;#,##0"/>
    </dxf>
    <dxf>
      <numFmt numFmtId="0" formatCode="General"/>
    </dxf>
    <dxf>
      <numFmt numFmtId="14" formatCode="0.00%"/>
    </dxf>
    <dxf>
      <numFmt numFmtId="166" formatCode="[&gt;=1000000000]&quot;$&quot;0.0,,,&quot;B&quot;;[&gt;=1000000]&quot;$&quot;0.0,,&quot;M&quot;;&quot;$&quot;#,##0"/>
    </dxf>
    <dxf>
      <numFmt numFmtId="166" formatCode="[&gt;=1000000000]&quot;$&quot;0.0,,,&quot;B&quot;;[&gt;=1000000]&quot;$&quot;0.0,,&quot;M&quot;;&quot;$&quot;#,##0"/>
    </dxf>
    <dxf>
      <numFmt numFmtId="165" formatCode="0.0"/>
    </dxf>
    <dxf>
      <numFmt numFmtId="165" formatCode="0.0"/>
    </dxf>
    <dxf>
      <numFmt numFmtId="0" formatCode="General"/>
    </dxf>
    <dxf>
      <numFmt numFmtId="14" formatCode="0.00%"/>
    </dxf>
    <dxf>
      <numFmt numFmtId="1" formatCode="0"/>
    </dxf>
    <dxf>
      <numFmt numFmtId="166" formatCode="[&gt;=1000000000]&quot;$&quot;0.0,,,&quot;B&quot;;[&gt;=1000000]&quot;$&quot;0.0,,&quot;M&quot;;&quot;$&quot;#,##0"/>
    </dxf>
    <dxf>
      <numFmt numFmtId="165" formatCode="0.0"/>
    </dxf>
    <dxf>
      <numFmt numFmtId="165" formatCode="0.0"/>
    </dxf>
    <dxf>
      <numFmt numFmtId="166" formatCode="[&gt;=1000000000]&quot;$&quot;0.0,,,&quot;B&quot;;[&gt;=1000000]&quot;$&quot;0.0,,&quot;M&quot;;&quot;$&quot;#,##0"/>
    </dxf>
    <dxf>
      <numFmt numFmtId="1" formatCode="0"/>
    </dxf>
    <dxf>
      <numFmt numFmtId="167" formatCode="0\ &quot;Years&quot;"/>
    </dxf>
    <dxf>
      <numFmt numFmtId="166" formatCode="[&gt;=1000000000]&quot;$&quot;0.0,,,&quot;B&quot;;[&gt;=1000000]&quot;$&quot;0.0,,&quot;M&quot;;&quot;$&quot;#,##0"/>
    </dxf>
    <dxf>
      <numFmt numFmtId="164" formatCode="&quot;$&quot;#,##0"/>
    </dxf>
    <dxf>
      <font>
        <b val="0"/>
        <i val="0"/>
        <strike val="0"/>
        <condense val="0"/>
        <extend val="0"/>
        <outline val="0"/>
        <shadow val="0"/>
        <u val="none"/>
        <vertAlign val="baseline"/>
        <sz val="11"/>
        <color theme="1"/>
        <name val="Calibri"/>
        <family val="2"/>
        <scheme val="minor"/>
      </font>
    </dxf>
    <dxf>
      <numFmt numFmtId="164" formatCode="&quot;$&quot;#,##0"/>
    </dxf>
    <dxf>
      <numFmt numFmtId="19" formatCode="m/d/yyyy"/>
    </dxf>
    <dxf>
      <numFmt numFmtId="167" formatCode="0\ &quot;Years&quot;"/>
    </dxf>
    <dxf>
      <numFmt numFmtId="19" formatCode="m/d/yyyy"/>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3" defaultTableStyle="TableStyleMedium9" defaultPivotStyle="PivotStyleLight16">
    <tableStyle name="Slicer Style 1" pivot="0" table="0" count="1" xr9:uid="{031B3D29-EFA8-4EDE-A0CC-DD774497C610}"/>
    <tableStyle name="Slicer Style 2" pivot="0" table="0" count="1" xr9:uid="{61D61623-C369-4138-9D08-F3A7E8A0B468}"/>
    <tableStyle name="SlicerStyleDark4 2" pivot="0" table="0" count="10" xr9:uid="{9B1FEDF1-4A87-4520-B0D3-0F77BCC237BB}">
      <tableStyleElement type="wholeTable" dxfId="58"/>
      <tableStyleElement type="headerRow" dxfId="57"/>
    </tableStyle>
  </tableStyles>
  <colors>
    <mruColors>
      <color rgb="FFF15BB5"/>
      <color rgb="FFFFFFFF"/>
      <color rgb="FF7678ED"/>
      <color rgb="FFEFA3EA"/>
      <color rgb="FFF0F2FA"/>
    </mruColors>
  </colors>
  <extLst>
    <ext xmlns:x14="http://schemas.microsoft.com/office/spreadsheetml/2009/9/main" uri="{46F421CA-312F-682f-3DD2-61675219B42D}">
      <x14:dxfs count="10">
        <dxf>
          <fill>
            <patternFill>
              <bgColor rgb="FFFFFFFF"/>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7678ED"/>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7678ED"/>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s>
        </x14:slicerStyle>
        <x14:slicerStyle name="Slicer Style 2">
          <x14:slicerStyleElements>
            <x14:slicerStyleElement type="selectedItemWithData" dxfId="0"/>
          </x14:slicerStyleElements>
        </x14:slicerStyle>
        <x14:slicerStyle name="SlicerStyleDark4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Employee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19000197102713E-2"/>
          <c:y val="0.17058984910836766"/>
          <c:w val="0.8879194710479833"/>
          <c:h val="0.608925612693475"/>
        </c:manualLayout>
      </c:layout>
      <c:barChart>
        <c:barDir val="col"/>
        <c:grouping val="stacked"/>
        <c:varyColors val="0"/>
        <c:ser>
          <c:idx val="0"/>
          <c:order val="0"/>
          <c:tx>
            <c:strRef>
              <c:f>Analysis!$B$3</c:f>
              <c:strCache>
                <c:ptCount val="1"/>
                <c:pt idx="0">
                  <c:v>Total</c:v>
                </c:pt>
              </c:strCache>
            </c:strRef>
          </c:tx>
          <c:spPr>
            <a:solidFill>
              <a:srgbClr val="7678ED"/>
            </a:solidFill>
            <a:ln>
              <a:noFill/>
            </a:ln>
            <a:effectLst/>
          </c:spPr>
          <c:invertIfNegative val="0"/>
          <c:cat>
            <c:strRef>
              <c:f>Analysis!$A$4:$A$10</c:f>
              <c:strCache>
                <c:ptCount val="6"/>
                <c:pt idx="0">
                  <c:v>Information Technology</c:v>
                </c:pt>
                <c:pt idx="1">
                  <c:v>Sales</c:v>
                </c:pt>
                <c:pt idx="2">
                  <c:v>Operations</c:v>
                </c:pt>
                <c:pt idx="3">
                  <c:v>Marketing</c:v>
                </c:pt>
                <c:pt idx="4">
                  <c:v>Human Resources</c:v>
                </c:pt>
                <c:pt idx="5">
                  <c:v>Finance</c:v>
                </c:pt>
              </c:strCache>
            </c:strRef>
          </c:cat>
          <c:val>
            <c:numRef>
              <c:f>Analysis!$B$4:$B$10</c:f>
              <c:numCache>
                <c:formatCode>General</c:formatCode>
                <c:ptCount val="6"/>
                <c:pt idx="0">
                  <c:v>36</c:v>
                </c:pt>
                <c:pt idx="1">
                  <c:v>31</c:v>
                </c:pt>
                <c:pt idx="2">
                  <c:v>29</c:v>
                </c:pt>
                <c:pt idx="3">
                  <c:v>19</c:v>
                </c:pt>
                <c:pt idx="4">
                  <c:v>18</c:v>
                </c:pt>
                <c:pt idx="5">
                  <c:v>17</c:v>
                </c:pt>
              </c:numCache>
            </c:numRef>
          </c:val>
          <c:extLst>
            <c:ext xmlns:c16="http://schemas.microsoft.com/office/drawing/2014/chart" uri="{C3380CC4-5D6E-409C-BE32-E72D297353CC}">
              <c16:uniqueId val="{00000000-27A9-489F-8859-DB0573EC7089}"/>
            </c:ext>
          </c:extLst>
        </c:ser>
        <c:dLbls>
          <c:showLegendKey val="0"/>
          <c:showVal val="0"/>
          <c:showCatName val="0"/>
          <c:showSerName val="0"/>
          <c:showPercent val="0"/>
          <c:showBubbleSize val="0"/>
        </c:dLbls>
        <c:gapWidth val="113"/>
        <c:overlap val="59"/>
        <c:axId val="776710431"/>
        <c:axId val="1173116095"/>
      </c:barChart>
      <c:catAx>
        <c:axId val="7767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3116095"/>
        <c:crosses val="autoZero"/>
        <c:auto val="1"/>
        <c:lblAlgn val="ctr"/>
        <c:lblOffset val="100"/>
        <c:noMultiLvlLbl val="0"/>
      </c:catAx>
      <c:valAx>
        <c:axId val="117311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671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Rate by Deparment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Analysis!$H$3:$H$4</c:f>
              <c:strCache>
                <c:ptCount val="1"/>
                <c:pt idx="0">
                  <c:v>Active</c:v>
                </c:pt>
              </c:strCache>
            </c:strRef>
          </c:tx>
          <c:spPr>
            <a:solidFill>
              <a:srgbClr val="7678ED"/>
            </a:solidFill>
            <a:ln>
              <a:noFill/>
            </a:ln>
            <a:effectLst/>
          </c:spPr>
          <c:invertIfNegative val="0"/>
          <c:cat>
            <c:strRef>
              <c:f>Analysis!$G$5:$G$11</c:f>
              <c:strCache>
                <c:ptCount val="6"/>
                <c:pt idx="0">
                  <c:v>Finance</c:v>
                </c:pt>
                <c:pt idx="1">
                  <c:v>Human Resources</c:v>
                </c:pt>
                <c:pt idx="2">
                  <c:v>Information Technology</c:v>
                </c:pt>
                <c:pt idx="3">
                  <c:v>Marketing</c:v>
                </c:pt>
                <c:pt idx="4">
                  <c:v>Operations</c:v>
                </c:pt>
                <c:pt idx="5">
                  <c:v>Sales</c:v>
                </c:pt>
              </c:strCache>
            </c:strRef>
          </c:cat>
          <c:val>
            <c:numRef>
              <c:f>Analysis!$H$5:$H$11</c:f>
              <c:numCache>
                <c:formatCode>0.00%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6382-4987-AA28-25A7FD5A4C41}"/>
            </c:ext>
          </c:extLst>
        </c:ser>
        <c:ser>
          <c:idx val="1"/>
          <c:order val="1"/>
          <c:tx>
            <c:strRef>
              <c:f>Analysis!$I$3:$I$4</c:f>
              <c:strCache>
                <c:ptCount val="1"/>
                <c:pt idx="0">
                  <c:v>Left</c:v>
                </c:pt>
              </c:strCache>
            </c:strRef>
          </c:tx>
          <c:spPr>
            <a:solidFill>
              <a:schemeClr val="accent2"/>
            </a:solidFill>
            <a:ln>
              <a:noFill/>
            </a:ln>
            <a:effectLst/>
          </c:spPr>
          <c:invertIfNegative val="0"/>
          <c:cat>
            <c:strRef>
              <c:f>Analysis!$G$5:$G$11</c:f>
              <c:strCache>
                <c:ptCount val="6"/>
                <c:pt idx="0">
                  <c:v>Finance</c:v>
                </c:pt>
                <c:pt idx="1">
                  <c:v>Human Resources</c:v>
                </c:pt>
                <c:pt idx="2">
                  <c:v>Information Technology</c:v>
                </c:pt>
                <c:pt idx="3">
                  <c:v>Marketing</c:v>
                </c:pt>
                <c:pt idx="4">
                  <c:v>Operations</c:v>
                </c:pt>
                <c:pt idx="5">
                  <c:v>Sales</c:v>
                </c:pt>
              </c:strCache>
            </c:strRef>
          </c:cat>
          <c:val>
            <c:numRef>
              <c:f>Analysis!$I$5:$I$11</c:f>
              <c:numCache>
                <c:formatCode>0.00%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A-A250-4462-860D-7211E4BE7D68}"/>
            </c:ext>
          </c:extLst>
        </c:ser>
        <c:dLbls>
          <c:showLegendKey val="0"/>
          <c:showVal val="0"/>
          <c:showCatName val="0"/>
          <c:showSerName val="0"/>
          <c:showPercent val="0"/>
          <c:showBubbleSize val="0"/>
        </c:dLbls>
        <c:gapWidth val="219"/>
        <c:overlap val="-27"/>
        <c:axId val="160115856"/>
        <c:axId val="316208064"/>
      </c:barChart>
      <c:catAx>
        <c:axId val="1601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316208064"/>
        <c:crosses val="autoZero"/>
        <c:auto val="1"/>
        <c:lblAlgn val="ctr"/>
        <c:lblOffset val="100"/>
        <c:noMultiLvlLbl val="0"/>
      </c:catAx>
      <c:valAx>
        <c:axId val="3162080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115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Bonus</a:t>
            </a:r>
            <a:r>
              <a:rPr lang="en-US" b="1" baseline="0">
                <a:solidFill>
                  <a:schemeClr val="tx1"/>
                </a:solidFill>
              </a:rPr>
              <a:t> Payout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Analysis!$E$14</c:f>
              <c:strCache>
                <c:ptCount val="1"/>
                <c:pt idx="0">
                  <c:v>Total</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Analysis!$D$15:$D$20</c:f>
              <c:strCache>
                <c:ptCount val="5"/>
                <c:pt idx="0">
                  <c:v>Achieving</c:v>
                </c:pt>
                <c:pt idx="1">
                  <c:v>Exceeding</c:v>
                </c:pt>
                <c:pt idx="2">
                  <c:v>Outstanding</c:v>
                </c:pt>
                <c:pt idx="3">
                  <c:v>Developing</c:v>
                </c:pt>
                <c:pt idx="4">
                  <c:v>Needs Improvement</c:v>
                </c:pt>
              </c:strCache>
            </c:strRef>
          </c:cat>
          <c:val>
            <c:numRef>
              <c:f>Analysis!$E$15:$E$20</c:f>
              <c:numCache>
                <c:formatCode>[&gt;=1000000000]"$"0.0,,,"B";[&gt;=1000000]"$"0.0,,"M";"$"#,##0</c:formatCode>
                <c:ptCount val="5"/>
                <c:pt idx="0">
                  <c:v>197912.80000000002</c:v>
                </c:pt>
                <c:pt idx="1">
                  <c:v>144689.44</c:v>
                </c:pt>
                <c:pt idx="2">
                  <c:v>92411.520000000004</c:v>
                </c:pt>
                <c:pt idx="3">
                  <c:v>71514.940000000017</c:v>
                </c:pt>
                <c:pt idx="4">
                  <c:v>0</c:v>
                </c:pt>
              </c:numCache>
            </c:numRef>
          </c:val>
          <c:extLst>
            <c:ext xmlns:c16="http://schemas.microsoft.com/office/drawing/2014/chart" uri="{C3380CC4-5D6E-409C-BE32-E72D297353CC}">
              <c16:uniqueId val="{00000000-5D5B-46E7-AD28-D67D5F6CC40F}"/>
            </c:ext>
          </c:extLst>
        </c:ser>
        <c:dLbls>
          <c:dLblPos val="outEnd"/>
          <c:showLegendKey val="0"/>
          <c:showVal val="1"/>
          <c:showCatName val="0"/>
          <c:showSerName val="0"/>
          <c:showPercent val="0"/>
          <c:showBubbleSize val="0"/>
        </c:dLbls>
        <c:gapWidth val="219"/>
        <c:overlap val="-27"/>
        <c:axId val="160255056"/>
        <c:axId val="316217184"/>
      </c:barChart>
      <c:catAx>
        <c:axId val="16025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6217184"/>
        <c:crosses val="autoZero"/>
        <c:auto val="1"/>
        <c:lblAlgn val="ctr"/>
        <c:lblOffset val="100"/>
        <c:noMultiLvlLbl val="0"/>
      </c:catAx>
      <c:valAx>
        <c:axId val="316217184"/>
        <c:scaling>
          <c:orientation val="minMax"/>
        </c:scaling>
        <c:delete val="1"/>
        <c:axPos val="l"/>
        <c:numFmt formatCode="[&gt;=1000000000]&quot;$&quot;0.0,,,&quot;B&quot;;[&gt;=1000000]&quot;$&quot;0.0,,&quot;M&quot;;&quot;$&quot;#,##0" sourceLinked="1"/>
        <c:majorTickMark val="out"/>
        <c:minorTickMark val="none"/>
        <c:tickLblPos val="nextTo"/>
        <c:crossAx val="16025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Performance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78ED"/>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678ED"/>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678ED"/>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678ED"/>
          </a:solidFill>
          <a:ln w="19050">
            <a:solidFill>
              <a:schemeClr val="lt1"/>
            </a:solidFill>
          </a:ln>
          <a:effectLst/>
        </c:spPr>
      </c:pivotFmt>
      <c:pivotFmt>
        <c:idx val="13"/>
        <c:spPr>
          <a:solidFill>
            <a:srgbClr val="F15BB5"/>
          </a:solidFill>
          <a:ln w="19050">
            <a:solidFill>
              <a:schemeClr val="lt1"/>
            </a:solidFill>
          </a:ln>
          <a:effectLst/>
        </c:spPr>
      </c:pivotFmt>
    </c:pivotFmts>
    <c:plotArea>
      <c:layout>
        <c:manualLayout>
          <c:layoutTarget val="inner"/>
          <c:xMode val="edge"/>
          <c:yMode val="edge"/>
          <c:x val="0.33673042757569388"/>
          <c:y val="0.21488802097444473"/>
          <c:w val="0.33045526386705731"/>
          <c:h val="0.55841176519626023"/>
        </c:manualLayout>
      </c:layout>
      <c:doughnutChart>
        <c:varyColors val="1"/>
        <c:ser>
          <c:idx val="0"/>
          <c:order val="0"/>
          <c:tx>
            <c:strRef>
              <c:f>Analysis!$B$14</c:f>
              <c:strCache>
                <c:ptCount val="1"/>
                <c:pt idx="0">
                  <c:v>Total</c:v>
                </c:pt>
              </c:strCache>
            </c:strRef>
          </c:tx>
          <c:dPt>
            <c:idx val="0"/>
            <c:bubble3D val="0"/>
            <c:spPr>
              <a:solidFill>
                <a:srgbClr val="7678ED"/>
              </a:solidFill>
              <a:ln w="19050">
                <a:solidFill>
                  <a:schemeClr val="lt1"/>
                </a:solidFill>
              </a:ln>
              <a:effectLst/>
            </c:spPr>
            <c:extLst>
              <c:ext xmlns:c16="http://schemas.microsoft.com/office/drawing/2014/chart" uri="{C3380CC4-5D6E-409C-BE32-E72D297353CC}">
                <c16:uniqueId val="{00000001-692A-43B4-B6AB-713802FD163C}"/>
              </c:ext>
            </c:extLst>
          </c:dPt>
          <c:dPt>
            <c:idx val="1"/>
            <c:bubble3D val="0"/>
            <c:spPr>
              <a:solidFill>
                <a:srgbClr val="F15BB5"/>
              </a:solidFill>
              <a:ln w="19050">
                <a:solidFill>
                  <a:schemeClr val="lt1"/>
                </a:solidFill>
              </a:ln>
              <a:effectLst/>
            </c:spPr>
            <c:extLst>
              <c:ext xmlns:c16="http://schemas.microsoft.com/office/drawing/2014/chart" uri="{C3380CC4-5D6E-409C-BE32-E72D297353CC}">
                <c16:uniqueId val="{00000003-692A-43B4-B6AB-713802FD163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Analysis!$A$15:$A$17</c:f>
              <c:strCache>
                <c:ptCount val="2"/>
                <c:pt idx="0">
                  <c:v>Active</c:v>
                </c:pt>
                <c:pt idx="1">
                  <c:v>Left</c:v>
                </c:pt>
              </c:strCache>
            </c:strRef>
          </c:cat>
          <c:val>
            <c:numRef>
              <c:f>Analysis!$B$15:$B$17</c:f>
              <c:numCache>
                <c:formatCode>0.0</c:formatCode>
                <c:ptCount val="2"/>
                <c:pt idx="0">
                  <c:v>67.862068965517238</c:v>
                </c:pt>
                <c:pt idx="1">
                  <c:v>69.264705882352942</c:v>
                </c:pt>
              </c:numCache>
            </c:numRef>
          </c:val>
          <c:extLst>
            <c:ext xmlns:c16="http://schemas.microsoft.com/office/drawing/2014/chart" uri="{C3380CC4-5D6E-409C-BE32-E72D297353CC}">
              <c16:uniqueId val="{00000004-692A-43B4-B6AB-713802FD163C}"/>
            </c:ext>
          </c:extLst>
        </c:ser>
        <c:dLbls>
          <c:showLegendKey val="0"/>
          <c:showVal val="0"/>
          <c:showCatName val="0"/>
          <c:showSerName val="0"/>
          <c:showPercent val="0"/>
          <c:showBubbleSize val="0"/>
          <c:showLeaderLines val="1"/>
        </c:dLbls>
        <c:firstSliceAng val="1"/>
        <c:holeSize val="3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Salary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Analysis!$E$3</c:f>
              <c:strCache>
                <c:ptCount val="1"/>
                <c:pt idx="0">
                  <c:v>Total</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Analysis!$D$4:$D$10</c:f>
              <c:strCache>
                <c:ptCount val="6"/>
                <c:pt idx="0">
                  <c:v>Finance</c:v>
                </c:pt>
                <c:pt idx="1">
                  <c:v>Human Resources</c:v>
                </c:pt>
                <c:pt idx="2">
                  <c:v>Marketing</c:v>
                </c:pt>
                <c:pt idx="3">
                  <c:v>Operations</c:v>
                </c:pt>
                <c:pt idx="4">
                  <c:v>Sales</c:v>
                </c:pt>
                <c:pt idx="5">
                  <c:v>Information Technology</c:v>
                </c:pt>
              </c:strCache>
            </c:strRef>
          </c:cat>
          <c:val>
            <c:numRef>
              <c:f>Analysis!$E$4:$E$10</c:f>
              <c:numCache>
                <c:formatCode>[&gt;=1000000000]"$"0.0,,,"B";[&gt;=1000000]"$"0.0,,"M";"$"#,##0</c:formatCode>
                <c:ptCount val="6"/>
                <c:pt idx="0">
                  <c:v>1481951</c:v>
                </c:pt>
                <c:pt idx="1">
                  <c:v>1539653</c:v>
                </c:pt>
                <c:pt idx="2">
                  <c:v>1622751</c:v>
                </c:pt>
                <c:pt idx="3">
                  <c:v>2321448</c:v>
                </c:pt>
                <c:pt idx="4">
                  <c:v>2676326</c:v>
                </c:pt>
                <c:pt idx="5">
                  <c:v>2898462</c:v>
                </c:pt>
              </c:numCache>
            </c:numRef>
          </c:val>
          <c:extLst>
            <c:ext xmlns:c16="http://schemas.microsoft.com/office/drawing/2014/chart" uri="{C3380CC4-5D6E-409C-BE32-E72D297353CC}">
              <c16:uniqueId val="{00000000-5DF5-4658-8FE1-596FF66903D6}"/>
            </c:ext>
          </c:extLst>
        </c:ser>
        <c:dLbls>
          <c:showLegendKey val="0"/>
          <c:showVal val="0"/>
          <c:showCatName val="0"/>
          <c:showSerName val="0"/>
          <c:showPercent val="0"/>
          <c:showBubbleSize val="0"/>
        </c:dLbls>
        <c:gapWidth val="150"/>
        <c:overlap val="100"/>
        <c:axId val="160093584"/>
        <c:axId val="303047712"/>
      </c:barChart>
      <c:catAx>
        <c:axId val="16009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3047712"/>
        <c:crosses val="autoZero"/>
        <c:auto val="1"/>
        <c:lblAlgn val="ctr"/>
        <c:lblOffset val="100"/>
        <c:noMultiLvlLbl val="0"/>
      </c:catAx>
      <c:valAx>
        <c:axId val="303047712"/>
        <c:scaling>
          <c:orientation val="minMax"/>
        </c:scaling>
        <c:delete val="1"/>
        <c:axPos val="b"/>
        <c:numFmt formatCode="[&gt;=1000000000]&quot;$&quot;0.0,,,&quot;B&quot;;[&gt;=1000000]&quot;$&quot;0.0,,&quot;M&quot;;&quot;$&quot;#,##0" sourceLinked="1"/>
        <c:majorTickMark val="none"/>
        <c:minorTickMark val="none"/>
        <c:tickLblPos val="nextTo"/>
        <c:crossAx val="16009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96078431372547E-2"/>
          <c:y val="0.15545754912290743"/>
          <c:w val="0.79128880654624056"/>
          <c:h val="0.55498576050036863"/>
        </c:manualLayout>
      </c:layout>
      <c:barChart>
        <c:barDir val="col"/>
        <c:grouping val="clustered"/>
        <c:varyColors val="0"/>
        <c:ser>
          <c:idx val="0"/>
          <c:order val="0"/>
          <c:tx>
            <c:strRef>
              <c:f>Analysis!$H$14:$H$15</c:f>
              <c:strCache>
                <c:ptCount val="1"/>
                <c:pt idx="0">
                  <c:v>Active</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Analysis!$G$16:$G$21</c:f>
              <c:strCache>
                <c:ptCount val="5"/>
                <c:pt idx="0">
                  <c:v>Achieving</c:v>
                </c:pt>
                <c:pt idx="1">
                  <c:v>Developing</c:v>
                </c:pt>
                <c:pt idx="2">
                  <c:v>Exceeding</c:v>
                </c:pt>
                <c:pt idx="3">
                  <c:v>Needs Improvement</c:v>
                </c:pt>
                <c:pt idx="4">
                  <c:v>Outstanding</c:v>
                </c:pt>
              </c:strCache>
            </c:strRef>
          </c:cat>
          <c:val>
            <c:numRef>
              <c:f>Analysis!$H$16:$H$21</c:f>
              <c:numCache>
                <c:formatCode>0.00%</c:formatCode>
                <c:ptCount val="5"/>
                <c:pt idx="0">
                  <c:v>0.69387755102040816</c:v>
                </c:pt>
                <c:pt idx="1">
                  <c:v>0.80487804878048785</c:v>
                </c:pt>
                <c:pt idx="2">
                  <c:v>0.72727272727272729</c:v>
                </c:pt>
                <c:pt idx="3">
                  <c:v>0.8214285714285714</c:v>
                </c:pt>
                <c:pt idx="4">
                  <c:v>1</c:v>
                </c:pt>
              </c:numCache>
            </c:numRef>
          </c:val>
          <c:extLst>
            <c:ext xmlns:c16="http://schemas.microsoft.com/office/drawing/2014/chart" uri="{C3380CC4-5D6E-409C-BE32-E72D297353CC}">
              <c16:uniqueId val="{00000000-1978-4EB5-AFA8-51FFECE34343}"/>
            </c:ext>
          </c:extLst>
        </c:ser>
        <c:ser>
          <c:idx val="1"/>
          <c:order val="1"/>
          <c:tx>
            <c:strRef>
              <c:f>Analysis!$I$14:$I$15</c:f>
              <c:strCache>
                <c:ptCount val="1"/>
                <c:pt idx="0">
                  <c:v>Left</c:v>
                </c:pt>
              </c:strCache>
            </c:strRef>
          </c:tx>
          <c:spPr>
            <a:solidFill>
              <a:srgbClr val="F15B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Analysis!$G$16:$G$21</c:f>
              <c:strCache>
                <c:ptCount val="5"/>
                <c:pt idx="0">
                  <c:v>Achieving</c:v>
                </c:pt>
                <c:pt idx="1">
                  <c:v>Developing</c:v>
                </c:pt>
                <c:pt idx="2">
                  <c:v>Exceeding</c:v>
                </c:pt>
                <c:pt idx="3">
                  <c:v>Needs Improvement</c:v>
                </c:pt>
                <c:pt idx="4">
                  <c:v>Outstanding</c:v>
                </c:pt>
              </c:strCache>
            </c:strRef>
          </c:cat>
          <c:val>
            <c:numRef>
              <c:f>Analysis!$I$16:$I$21</c:f>
              <c:numCache>
                <c:formatCode>0.00%</c:formatCode>
                <c:ptCount val="5"/>
                <c:pt idx="0">
                  <c:v>0.30612244897959184</c:v>
                </c:pt>
                <c:pt idx="1">
                  <c:v>0.1951219512195122</c:v>
                </c:pt>
                <c:pt idx="2">
                  <c:v>0.27272727272727271</c:v>
                </c:pt>
                <c:pt idx="3">
                  <c:v>0.17857142857142858</c:v>
                </c:pt>
                <c:pt idx="4">
                  <c:v>0</c:v>
                </c:pt>
              </c:numCache>
            </c:numRef>
          </c:val>
          <c:extLst>
            <c:ext xmlns:c16="http://schemas.microsoft.com/office/drawing/2014/chart" uri="{C3380CC4-5D6E-409C-BE32-E72D297353CC}">
              <c16:uniqueId val="{00000002-1978-4EB5-AFA8-51FFECE34343}"/>
            </c:ext>
          </c:extLst>
        </c:ser>
        <c:dLbls>
          <c:dLblPos val="outEnd"/>
          <c:showLegendKey val="0"/>
          <c:showVal val="1"/>
          <c:showCatName val="0"/>
          <c:showSerName val="0"/>
          <c:showPercent val="0"/>
          <c:showBubbleSize val="0"/>
        </c:dLbls>
        <c:gapWidth val="219"/>
        <c:overlap val="-27"/>
        <c:axId val="1200662704"/>
        <c:axId val="1197357024"/>
      </c:barChart>
      <c:catAx>
        <c:axId val="120066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197357024"/>
        <c:crosses val="autoZero"/>
        <c:auto val="1"/>
        <c:lblAlgn val="ctr"/>
        <c:lblOffset val="100"/>
        <c:noMultiLvlLbl val="0"/>
      </c:catAx>
      <c:valAx>
        <c:axId val="1197357024"/>
        <c:scaling>
          <c:orientation val="minMax"/>
        </c:scaling>
        <c:delete val="1"/>
        <c:axPos val="l"/>
        <c:numFmt formatCode="0.00%" sourceLinked="1"/>
        <c:majorTickMark val="none"/>
        <c:minorTickMark val="none"/>
        <c:tickLblPos val="nextTo"/>
        <c:crossAx val="1200662704"/>
        <c:crosses val="autoZero"/>
        <c:crossBetween val="between"/>
      </c:valAx>
      <c:spPr>
        <a:noFill/>
        <a:ln>
          <a:noFill/>
        </a:ln>
        <a:effectLst/>
      </c:spPr>
    </c:plotArea>
    <c:legend>
      <c:legendPos val="r"/>
      <c:layout>
        <c:manualLayout>
          <c:xMode val="edge"/>
          <c:yMode val="edge"/>
          <c:x val="0.84314586567415417"/>
          <c:y val="0.27353171744612875"/>
          <c:w val="0.12201644628150699"/>
          <c:h val="0.19189895474283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Avg Salary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
        <c:idx val="1"/>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Analysis!$B$20</c:f>
              <c:strCache>
                <c:ptCount val="1"/>
                <c:pt idx="0">
                  <c:v>Total</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Analysis!$A$21:$A$26</c:f>
              <c:strCache>
                <c:ptCount val="5"/>
                <c:pt idx="0">
                  <c:v>Outstanding</c:v>
                </c:pt>
                <c:pt idx="1">
                  <c:v>Achieving</c:v>
                </c:pt>
                <c:pt idx="2">
                  <c:v>Exceeding</c:v>
                </c:pt>
                <c:pt idx="3">
                  <c:v>Needs Improvement</c:v>
                </c:pt>
                <c:pt idx="4">
                  <c:v>Developing</c:v>
                </c:pt>
              </c:strCache>
            </c:strRef>
          </c:cat>
          <c:val>
            <c:numRef>
              <c:f>Analysis!$B$21:$B$26</c:f>
              <c:numCache>
                <c:formatCode>[&gt;=1000000000]"$"0.0,,,"B";[&gt;=1000000]"$"0.0,,"M";"$"#,##0</c:formatCode>
                <c:ptCount val="5"/>
                <c:pt idx="0">
                  <c:v>77009.600000000006</c:v>
                </c:pt>
                <c:pt idx="1">
                  <c:v>80780.734693877544</c:v>
                </c:pt>
                <c:pt idx="2">
                  <c:v>82209.909090909088</c:v>
                </c:pt>
                <c:pt idx="3">
                  <c:v>86709.78571428571</c:v>
                </c:pt>
                <c:pt idx="4">
                  <c:v>87213.341463414632</c:v>
                </c:pt>
              </c:numCache>
            </c:numRef>
          </c:val>
          <c:extLst>
            <c:ext xmlns:c16="http://schemas.microsoft.com/office/drawing/2014/chart" uri="{C3380CC4-5D6E-409C-BE32-E72D297353CC}">
              <c16:uniqueId val="{00000000-7173-4E92-A696-4FDEDDC595D1}"/>
            </c:ext>
          </c:extLst>
        </c:ser>
        <c:dLbls>
          <c:dLblPos val="ctr"/>
          <c:showLegendKey val="0"/>
          <c:showVal val="1"/>
          <c:showCatName val="0"/>
          <c:showSerName val="0"/>
          <c:showPercent val="0"/>
          <c:showBubbleSize val="0"/>
        </c:dLbls>
        <c:gapWidth val="150"/>
        <c:overlap val="100"/>
        <c:axId val="1200632544"/>
        <c:axId val="1197350304"/>
      </c:barChart>
      <c:catAx>
        <c:axId val="120063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7350304"/>
        <c:crosses val="autoZero"/>
        <c:auto val="1"/>
        <c:lblAlgn val="ctr"/>
        <c:lblOffset val="100"/>
        <c:noMultiLvlLbl val="0"/>
      </c:catAx>
      <c:valAx>
        <c:axId val="1197350304"/>
        <c:scaling>
          <c:orientation val="minMax"/>
        </c:scaling>
        <c:delete val="1"/>
        <c:axPos val="b"/>
        <c:numFmt formatCode="[&gt;=1000000000]&quot;$&quot;0.0,,,&quot;B&quot;;[&gt;=1000000]&quot;$&quot;0.0,,&quot;M&quot;;&quot;$&quot;#,##0" sourceLinked="1"/>
        <c:majorTickMark val="none"/>
        <c:minorTickMark val="none"/>
        <c:tickLblPos val="nextTo"/>
        <c:crossAx val="120063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[HR_Capstone_Completed_(Aleemat_Agboola).xlsx]Analysis!PivotTable4</c:name>
    <c:fmtId val="7"/>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j-lt"/>
                <a:ea typeface="+mn-ea"/>
                <a:cs typeface="+mn-cs"/>
              </a:defRPr>
            </a:pPr>
            <a:r>
              <a:rPr lang="en-US" sz="1050" b="1">
                <a:solidFill>
                  <a:schemeClr val="tx1"/>
                </a:solidFill>
                <a:latin typeface="+mj-lt"/>
              </a:rPr>
              <a:t>Performance by Status</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78ED"/>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678ED"/>
          </a:solidFill>
          <a:ln w="19050">
            <a:solidFill>
              <a:schemeClr val="lt1"/>
            </a:solidFill>
          </a:ln>
          <a:effectLst/>
        </c:spPr>
      </c:pivotFmt>
      <c:pivotFmt>
        <c:idx val="7"/>
        <c:spPr>
          <a:solidFill>
            <a:srgbClr val="F15BB5"/>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678ED"/>
          </a:solidFill>
          <a:ln w="19050">
            <a:solidFill>
              <a:schemeClr val="lt1"/>
            </a:solidFill>
          </a:ln>
          <a:effectLst/>
        </c:spPr>
      </c:pivotFmt>
      <c:pivotFmt>
        <c:idx val="10"/>
        <c:spPr>
          <a:solidFill>
            <a:srgbClr val="F15BB5"/>
          </a:solidFill>
          <a:ln w="19050">
            <a:solidFill>
              <a:schemeClr val="lt1"/>
            </a:solidFill>
          </a:ln>
          <a:effectLst/>
        </c:spPr>
      </c:pivotFmt>
    </c:pivotFmts>
    <c:plotArea>
      <c:layout>
        <c:manualLayout>
          <c:layoutTarget val="inner"/>
          <c:xMode val="edge"/>
          <c:yMode val="edge"/>
          <c:x val="0.26196409094887352"/>
          <c:y val="0.21488802097444473"/>
          <c:w val="0.46503465352557782"/>
          <c:h val="0.71698434031007152"/>
        </c:manualLayout>
      </c:layout>
      <c:doughnutChart>
        <c:varyColors val="1"/>
        <c:ser>
          <c:idx val="0"/>
          <c:order val="0"/>
          <c:tx>
            <c:strRef>
              <c:f>Analysis!$B$14</c:f>
              <c:strCache>
                <c:ptCount val="1"/>
                <c:pt idx="0">
                  <c:v>Total</c:v>
                </c:pt>
              </c:strCache>
            </c:strRef>
          </c:tx>
          <c:dPt>
            <c:idx val="0"/>
            <c:bubble3D val="0"/>
            <c:spPr>
              <a:solidFill>
                <a:srgbClr val="7678ED"/>
              </a:solidFill>
              <a:ln w="19050">
                <a:solidFill>
                  <a:schemeClr val="lt1"/>
                </a:solidFill>
              </a:ln>
              <a:effectLst/>
            </c:spPr>
            <c:extLst>
              <c:ext xmlns:c16="http://schemas.microsoft.com/office/drawing/2014/chart" uri="{C3380CC4-5D6E-409C-BE32-E72D297353CC}">
                <c16:uniqueId val="{00000001-24DC-4F96-B08F-C5F562533CA5}"/>
              </c:ext>
            </c:extLst>
          </c:dPt>
          <c:dPt>
            <c:idx val="1"/>
            <c:bubble3D val="0"/>
            <c:spPr>
              <a:solidFill>
                <a:srgbClr val="F15BB5"/>
              </a:solidFill>
              <a:ln w="19050">
                <a:solidFill>
                  <a:schemeClr val="lt1"/>
                </a:solidFill>
              </a:ln>
              <a:effectLst/>
            </c:spPr>
            <c:extLst>
              <c:ext xmlns:c16="http://schemas.microsoft.com/office/drawing/2014/chart" uri="{C3380CC4-5D6E-409C-BE32-E72D297353CC}">
                <c16:uniqueId val="{00000003-24DC-4F96-B08F-C5F562533CA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Analysis!$A$15:$A$17</c:f>
              <c:strCache>
                <c:ptCount val="2"/>
                <c:pt idx="0">
                  <c:v>Active</c:v>
                </c:pt>
                <c:pt idx="1">
                  <c:v>Left</c:v>
                </c:pt>
              </c:strCache>
            </c:strRef>
          </c:cat>
          <c:val>
            <c:numRef>
              <c:f>Analysis!$B$15:$B$17</c:f>
              <c:numCache>
                <c:formatCode>0.0</c:formatCode>
                <c:ptCount val="2"/>
                <c:pt idx="0">
                  <c:v>67.862068965517238</c:v>
                </c:pt>
                <c:pt idx="1">
                  <c:v>69.264705882352942</c:v>
                </c:pt>
              </c:numCache>
            </c:numRef>
          </c:val>
          <c:extLst>
            <c:ext xmlns:c16="http://schemas.microsoft.com/office/drawing/2014/chart" uri="{C3380CC4-5D6E-409C-BE32-E72D297353CC}">
              <c16:uniqueId val="{00000004-24DC-4F96-B08F-C5F562533CA5}"/>
            </c:ext>
          </c:extLst>
        </c:ser>
        <c:dLbls>
          <c:showLegendKey val="0"/>
          <c:showVal val="0"/>
          <c:showCatName val="0"/>
          <c:showSerName val="0"/>
          <c:showPercent val="0"/>
          <c:showBubbleSize val="0"/>
          <c:showLeaderLines val="1"/>
        </c:dLbls>
        <c:firstSliceAng val="0"/>
        <c:holeSize val="3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[HR_Capstone_Completed_(Aleemat_Agboola).xlsx]Analysis!PivotTable5</c:name>
    <c:fmtId val="6"/>
  </c:pivotSource>
  <c:chart>
    <c:title>
      <c:tx>
        <c:rich>
          <a:bodyPr rot="0" spcFirstLastPara="1" vertOverflow="ellipsis" vert="horz" wrap="square" anchor="ctr" anchorCtr="1"/>
          <a:lstStyle/>
          <a:p>
            <a:pPr>
              <a:defRPr sz="1200" b="0" i="0" u="none" strike="noStrike" kern="1200" spc="0" baseline="0">
                <a:solidFill>
                  <a:schemeClr val="tx1"/>
                </a:solidFill>
                <a:latin typeface="+mj-lt"/>
                <a:ea typeface="+mn-ea"/>
                <a:cs typeface="+mn-cs"/>
              </a:defRPr>
            </a:pPr>
            <a:r>
              <a:rPr lang="en-US" sz="1200" b="1">
                <a:solidFill>
                  <a:schemeClr val="tx1"/>
                </a:solidFill>
                <a:latin typeface="+mj-lt"/>
              </a:rPr>
              <a:t>Bonus</a:t>
            </a:r>
            <a:r>
              <a:rPr lang="en-US" sz="1200" b="1" baseline="0">
                <a:solidFill>
                  <a:schemeClr val="tx1"/>
                </a:solidFill>
                <a:latin typeface="+mj-lt"/>
              </a:rPr>
              <a:t> Payout</a:t>
            </a:r>
            <a:endParaRPr lang="en-US" sz="1200" b="1">
              <a:solidFill>
                <a:schemeClr val="tx1"/>
              </a:solidFill>
              <a:latin typeface="+mj-l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j-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Analysis!$E$14</c:f>
              <c:strCache>
                <c:ptCount val="1"/>
                <c:pt idx="0">
                  <c:v>Total</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Analysis!$D$15:$D$20</c:f>
              <c:strCache>
                <c:ptCount val="5"/>
                <c:pt idx="0">
                  <c:v>Achieving</c:v>
                </c:pt>
                <c:pt idx="1">
                  <c:v>Exceeding</c:v>
                </c:pt>
                <c:pt idx="2">
                  <c:v>Outstanding</c:v>
                </c:pt>
                <c:pt idx="3">
                  <c:v>Developing</c:v>
                </c:pt>
                <c:pt idx="4">
                  <c:v>Needs Improvement</c:v>
                </c:pt>
              </c:strCache>
            </c:strRef>
          </c:cat>
          <c:val>
            <c:numRef>
              <c:f>Analysis!$E$15:$E$20</c:f>
              <c:numCache>
                <c:formatCode>[&gt;=1000000000]"$"0.0,,,"B";[&gt;=1000000]"$"0.0,,"M";"$"#,##0</c:formatCode>
                <c:ptCount val="5"/>
                <c:pt idx="0">
                  <c:v>197912.80000000002</c:v>
                </c:pt>
                <c:pt idx="1">
                  <c:v>144689.44</c:v>
                </c:pt>
                <c:pt idx="2">
                  <c:v>92411.520000000004</c:v>
                </c:pt>
                <c:pt idx="3">
                  <c:v>71514.940000000017</c:v>
                </c:pt>
                <c:pt idx="4">
                  <c:v>0</c:v>
                </c:pt>
              </c:numCache>
            </c:numRef>
          </c:val>
          <c:extLst>
            <c:ext xmlns:c16="http://schemas.microsoft.com/office/drawing/2014/chart" uri="{C3380CC4-5D6E-409C-BE32-E72D297353CC}">
              <c16:uniqueId val="{00000000-D175-4860-87D7-62F2AA7769A1}"/>
            </c:ext>
          </c:extLst>
        </c:ser>
        <c:dLbls>
          <c:dLblPos val="outEnd"/>
          <c:showLegendKey val="0"/>
          <c:showVal val="1"/>
          <c:showCatName val="0"/>
          <c:showSerName val="0"/>
          <c:showPercent val="0"/>
          <c:showBubbleSize val="0"/>
        </c:dLbls>
        <c:gapWidth val="219"/>
        <c:overlap val="-27"/>
        <c:axId val="160255056"/>
        <c:axId val="316217184"/>
      </c:barChart>
      <c:catAx>
        <c:axId val="16025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6217184"/>
        <c:crosses val="autoZero"/>
        <c:auto val="1"/>
        <c:lblAlgn val="ctr"/>
        <c:lblOffset val="100"/>
        <c:noMultiLvlLbl val="0"/>
      </c:catAx>
      <c:valAx>
        <c:axId val="316217184"/>
        <c:scaling>
          <c:orientation val="minMax"/>
        </c:scaling>
        <c:delete val="1"/>
        <c:axPos val="l"/>
        <c:numFmt formatCode="[&gt;=1000000000]&quot;$&quot;0.0,,,&quot;B&quot;;[&gt;=1000000]&quot;$&quot;0.0,,&quot;M&quot;;&quot;$&quot;#,##0" sourceLinked="1"/>
        <c:majorTickMark val="out"/>
        <c:minorTickMark val="none"/>
        <c:tickLblPos val="nextTo"/>
        <c:crossAx val="16025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[HR_Capstone_Completed_(Aleemat_Agboola).xlsx]Analysis!PivotTable3</c:name>
    <c:fmtId val="7"/>
  </c:pivotSource>
  <c:chart>
    <c:title>
      <c:tx>
        <c:rich>
          <a:bodyPr rot="0" spcFirstLastPara="1" vertOverflow="ellipsis" vert="horz" wrap="square" anchor="ctr" anchorCtr="1"/>
          <a:lstStyle/>
          <a:p>
            <a:pPr>
              <a:defRPr sz="1050" b="0" i="0" u="none" strike="noStrike" kern="1200" spc="0" baseline="0">
                <a:solidFill>
                  <a:schemeClr val="tx1"/>
                </a:solidFill>
                <a:latin typeface="+mj-lt"/>
                <a:ea typeface="+mn-ea"/>
                <a:cs typeface="+mn-cs"/>
              </a:defRPr>
            </a:pPr>
            <a:r>
              <a:rPr lang="en-US" sz="1050" b="1">
                <a:solidFill>
                  <a:schemeClr val="tx1"/>
                </a:solidFill>
                <a:latin typeface="+mj-lt"/>
              </a:rPr>
              <a:t>Attrition Rate by Deparment</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j-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Analysis!$H$3:$H$4</c:f>
              <c:strCache>
                <c:ptCount val="1"/>
                <c:pt idx="0">
                  <c:v>Active</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Analysis!$G$5:$G$11</c:f>
              <c:strCache>
                <c:ptCount val="6"/>
                <c:pt idx="0">
                  <c:v>Finance</c:v>
                </c:pt>
                <c:pt idx="1">
                  <c:v>Human Resources</c:v>
                </c:pt>
                <c:pt idx="2">
                  <c:v>Information Technology</c:v>
                </c:pt>
                <c:pt idx="3">
                  <c:v>Marketing</c:v>
                </c:pt>
                <c:pt idx="4">
                  <c:v>Operations</c:v>
                </c:pt>
                <c:pt idx="5">
                  <c:v>Sales</c:v>
                </c:pt>
              </c:strCache>
            </c:strRef>
          </c:cat>
          <c:val>
            <c:numRef>
              <c:f>Analysis!$H$5:$H$11</c:f>
              <c:numCache>
                <c:formatCode>0.00%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6555-4AD1-9FA1-0E14C2D26F5B}"/>
            </c:ext>
          </c:extLst>
        </c:ser>
        <c:ser>
          <c:idx val="1"/>
          <c:order val="1"/>
          <c:tx>
            <c:strRef>
              <c:f>Analysis!$I$3:$I$4</c:f>
              <c:strCache>
                <c:ptCount val="1"/>
                <c:pt idx="0">
                  <c:v>Left</c:v>
                </c:pt>
              </c:strCache>
            </c:strRef>
          </c:tx>
          <c:spPr>
            <a:solidFill>
              <a:srgbClr val="F15B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Analysis!$G$5:$G$11</c:f>
              <c:strCache>
                <c:ptCount val="6"/>
                <c:pt idx="0">
                  <c:v>Finance</c:v>
                </c:pt>
                <c:pt idx="1">
                  <c:v>Human Resources</c:v>
                </c:pt>
                <c:pt idx="2">
                  <c:v>Information Technology</c:v>
                </c:pt>
                <c:pt idx="3">
                  <c:v>Marketing</c:v>
                </c:pt>
                <c:pt idx="4">
                  <c:v>Operations</c:v>
                </c:pt>
                <c:pt idx="5">
                  <c:v>Sales</c:v>
                </c:pt>
              </c:strCache>
            </c:strRef>
          </c:cat>
          <c:val>
            <c:numRef>
              <c:f>Analysis!$I$5:$I$11</c:f>
              <c:numCache>
                <c:formatCode>0.00%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A-DC44-478C-B0F0-328442A41EAA}"/>
            </c:ext>
          </c:extLst>
        </c:ser>
        <c:dLbls>
          <c:dLblPos val="outEnd"/>
          <c:showLegendKey val="0"/>
          <c:showVal val="1"/>
          <c:showCatName val="0"/>
          <c:showSerName val="0"/>
          <c:showPercent val="0"/>
          <c:showBubbleSize val="0"/>
        </c:dLbls>
        <c:gapWidth val="219"/>
        <c:overlap val="-27"/>
        <c:axId val="160115856"/>
        <c:axId val="316208064"/>
      </c:barChart>
      <c:catAx>
        <c:axId val="16011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16208064"/>
        <c:crosses val="autoZero"/>
        <c:auto val="1"/>
        <c:lblAlgn val="ctr"/>
        <c:lblOffset val="100"/>
        <c:noMultiLvlLbl val="0"/>
      </c:catAx>
      <c:valAx>
        <c:axId val="316208064"/>
        <c:scaling>
          <c:orientation val="minMax"/>
        </c:scaling>
        <c:delete val="1"/>
        <c:axPos val="l"/>
        <c:numFmt formatCode="0.00%" sourceLinked="1"/>
        <c:majorTickMark val="out"/>
        <c:minorTickMark val="none"/>
        <c:tickLblPos val="nextTo"/>
        <c:crossAx val="160115856"/>
        <c:crosses val="autoZero"/>
        <c:crossBetween val="between"/>
      </c:valAx>
      <c:spPr>
        <a:noFill/>
        <a:ln>
          <a:noFill/>
        </a:ln>
        <a:effectLst/>
      </c:spPr>
    </c:plotArea>
    <c:legend>
      <c:legendPos val="b"/>
      <c:layout>
        <c:manualLayout>
          <c:xMode val="edge"/>
          <c:yMode val="edge"/>
          <c:x val="0.41198692268729564"/>
          <c:y val="0.85781455284191188"/>
          <c:w val="0.16815886840960526"/>
          <c:h val="0.12569920380064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[HR_Capstone_Completed_(Aleemat_Agboola).xlsx]Analysis!PivotTable6</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j-lt"/>
                <a:ea typeface="+mn-ea"/>
                <a:cs typeface="+mn-cs"/>
              </a:defRPr>
            </a:pPr>
            <a:r>
              <a:rPr lang="en-US" sz="1200" b="1">
                <a:solidFill>
                  <a:schemeClr val="tx1"/>
                </a:solidFill>
                <a:latin typeface="+mj-lt"/>
              </a:rPr>
              <a:t>Attrition By Performance Band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15B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96078431372547E-2"/>
          <c:y val="0.15545754912290743"/>
          <c:w val="0.79128880654624056"/>
          <c:h val="0.55498576050036863"/>
        </c:manualLayout>
      </c:layout>
      <c:barChart>
        <c:barDir val="col"/>
        <c:grouping val="clustered"/>
        <c:varyColors val="0"/>
        <c:ser>
          <c:idx val="0"/>
          <c:order val="0"/>
          <c:tx>
            <c:strRef>
              <c:f>Analysis!$H$14:$H$15</c:f>
              <c:strCache>
                <c:ptCount val="1"/>
                <c:pt idx="0">
                  <c:v>Active</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Analysis!$G$16:$G$21</c:f>
              <c:strCache>
                <c:ptCount val="5"/>
                <c:pt idx="0">
                  <c:v>Achieving</c:v>
                </c:pt>
                <c:pt idx="1">
                  <c:v>Developing</c:v>
                </c:pt>
                <c:pt idx="2">
                  <c:v>Exceeding</c:v>
                </c:pt>
                <c:pt idx="3">
                  <c:v>Needs Improvement</c:v>
                </c:pt>
                <c:pt idx="4">
                  <c:v>Outstanding</c:v>
                </c:pt>
              </c:strCache>
            </c:strRef>
          </c:cat>
          <c:val>
            <c:numRef>
              <c:f>Analysis!$H$16:$H$21</c:f>
              <c:numCache>
                <c:formatCode>0.00%</c:formatCode>
                <c:ptCount val="5"/>
                <c:pt idx="0">
                  <c:v>0.69387755102040816</c:v>
                </c:pt>
                <c:pt idx="1">
                  <c:v>0.80487804878048785</c:v>
                </c:pt>
                <c:pt idx="2">
                  <c:v>0.72727272727272729</c:v>
                </c:pt>
                <c:pt idx="3">
                  <c:v>0.8214285714285714</c:v>
                </c:pt>
                <c:pt idx="4">
                  <c:v>1</c:v>
                </c:pt>
              </c:numCache>
            </c:numRef>
          </c:val>
          <c:extLst>
            <c:ext xmlns:c16="http://schemas.microsoft.com/office/drawing/2014/chart" uri="{C3380CC4-5D6E-409C-BE32-E72D297353CC}">
              <c16:uniqueId val="{00000000-438A-4224-B937-66CDA9249D44}"/>
            </c:ext>
          </c:extLst>
        </c:ser>
        <c:ser>
          <c:idx val="1"/>
          <c:order val="1"/>
          <c:tx>
            <c:strRef>
              <c:f>Analysis!$I$14:$I$15</c:f>
              <c:strCache>
                <c:ptCount val="1"/>
                <c:pt idx="0">
                  <c:v>Left</c:v>
                </c:pt>
              </c:strCache>
            </c:strRef>
          </c:tx>
          <c:spPr>
            <a:solidFill>
              <a:srgbClr val="F15B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Analysis!$G$16:$G$21</c:f>
              <c:strCache>
                <c:ptCount val="5"/>
                <c:pt idx="0">
                  <c:v>Achieving</c:v>
                </c:pt>
                <c:pt idx="1">
                  <c:v>Developing</c:v>
                </c:pt>
                <c:pt idx="2">
                  <c:v>Exceeding</c:v>
                </c:pt>
                <c:pt idx="3">
                  <c:v>Needs Improvement</c:v>
                </c:pt>
                <c:pt idx="4">
                  <c:v>Outstanding</c:v>
                </c:pt>
              </c:strCache>
            </c:strRef>
          </c:cat>
          <c:val>
            <c:numRef>
              <c:f>Analysis!$I$16:$I$21</c:f>
              <c:numCache>
                <c:formatCode>0.00%</c:formatCode>
                <c:ptCount val="5"/>
                <c:pt idx="0">
                  <c:v>0.30612244897959184</c:v>
                </c:pt>
                <c:pt idx="1">
                  <c:v>0.1951219512195122</c:v>
                </c:pt>
                <c:pt idx="2">
                  <c:v>0.27272727272727271</c:v>
                </c:pt>
                <c:pt idx="3">
                  <c:v>0.17857142857142858</c:v>
                </c:pt>
                <c:pt idx="4">
                  <c:v>0</c:v>
                </c:pt>
              </c:numCache>
            </c:numRef>
          </c:val>
          <c:extLst>
            <c:ext xmlns:c16="http://schemas.microsoft.com/office/drawing/2014/chart" uri="{C3380CC4-5D6E-409C-BE32-E72D297353CC}">
              <c16:uniqueId val="{00000003-438A-4224-B937-66CDA9249D44}"/>
            </c:ext>
          </c:extLst>
        </c:ser>
        <c:dLbls>
          <c:dLblPos val="outEnd"/>
          <c:showLegendKey val="0"/>
          <c:showVal val="1"/>
          <c:showCatName val="0"/>
          <c:showSerName val="0"/>
          <c:showPercent val="0"/>
          <c:showBubbleSize val="0"/>
        </c:dLbls>
        <c:gapWidth val="219"/>
        <c:overlap val="-27"/>
        <c:axId val="1200662704"/>
        <c:axId val="1197357024"/>
      </c:barChart>
      <c:catAx>
        <c:axId val="120066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197357024"/>
        <c:crosses val="autoZero"/>
        <c:auto val="1"/>
        <c:lblAlgn val="ctr"/>
        <c:lblOffset val="100"/>
        <c:noMultiLvlLbl val="0"/>
      </c:catAx>
      <c:valAx>
        <c:axId val="1197357024"/>
        <c:scaling>
          <c:orientation val="minMax"/>
        </c:scaling>
        <c:delete val="1"/>
        <c:axPos val="l"/>
        <c:numFmt formatCode="0.00%" sourceLinked="1"/>
        <c:majorTickMark val="none"/>
        <c:minorTickMark val="none"/>
        <c:tickLblPos val="nextTo"/>
        <c:crossAx val="1200662704"/>
        <c:crosses val="autoZero"/>
        <c:crossBetween val="between"/>
      </c:valAx>
      <c:spPr>
        <a:noFill/>
        <a:ln>
          <a:noFill/>
        </a:ln>
        <a:effectLst/>
      </c:spPr>
    </c:plotArea>
    <c:legend>
      <c:legendPos val="r"/>
      <c:layout>
        <c:manualLayout>
          <c:xMode val="edge"/>
          <c:yMode val="edge"/>
          <c:x val="0.84314586567415417"/>
          <c:y val="0.27353171744612875"/>
          <c:w val="0.13037797940232093"/>
          <c:h val="0.2694633026398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[HR_Capstone_Completed_(Aleemat_Agboola).xlsx]Analysis!PivotTable7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200" b="1">
                <a:solidFill>
                  <a:schemeClr val="tx1"/>
                </a:solidFill>
                <a:latin typeface="+mj-lt"/>
              </a:rPr>
              <a:t>Avg Salary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
        <c:idx val="1"/>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
        <c:idx val="2"/>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
        <c:idx val="3"/>
        <c:spPr>
          <a:solidFill>
            <a:srgbClr val="767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64400131715513"/>
          <c:y val="0.25810055865921788"/>
          <c:w val="0.63449414574571406"/>
          <c:h val="0.65251396648044691"/>
        </c:manualLayout>
      </c:layout>
      <c:barChart>
        <c:barDir val="bar"/>
        <c:grouping val="stacked"/>
        <c:varyColors val="0"/>
        <c:ser>
          <c:idx val="0"/>
          <c:order val="0"/>
          <c:tx>
            <c:strRef>
              <c:f>Analysis!$B$20</c:f>
              <c:strCache>
                <c:ptCount val="1"/>
                <c:pt idx="0">
                  <c:v>Total</c:v>
                </c:pt>
              </c:strCache>
            </c:strRef>
          </c:tx>
          <c:spPr>
            <a:solidFill>
              <a:srgbClr val="7678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Analysis!$A$21:$A$26</c:f>
              <c:strCache>
                <c:ptCount val="5"/>
                <c:pt idx="0">
                  <c:v>Outstanding</c:v>
                </c:pt>
                <c:pt idx="1">
                  <c:v>Achieving</c:v>
                </c:pt>
                <c:pt idx="2">
                  <c:v>Exceeding</c:v>
                </c:pt>
                <c:pt idx="3">
                  <c:v>Needs Improvement</c:v>
                </c:pt>
                <c:pt idx="4">
                  <c:v>Developing</c:v>
                </c:pt>
              </c:strCache>
            </c:strRef>
          </c:cat>
          <c:val>
            <c:numRef>
              <c:f>Analysis!$B$21:$B$26</c:f>
              <c:numCache>
                <c:formatCode>[&gt;=1000000000]"$"0.0,,,"B";[&gt;=1000000]"$"0.0,,"M";"$"#,##0</c:formatCode>
                <c:ptCount val="5"/>
                <c:pt idx="0">
                  <c:v>77009.600000000006</c:v>
                </c:pt>
                <c:pt idx="1">
                  <c:v>80780.734693877544</c:v>
                </c:pt>
                <c:pt idx="2">
                  <c:v>82209.909090909088</c:v>
                </c:pt>
                <c:pt idx="3">
                  <c:v>86709.78571428571</c:v>
                </c:pt>
                <c:pt idx="4">
                  <c:v>87213.341463414632</c:v>
                </c:pt>
              </c:numCache>
            </c:numRef>
          </c:val>
          <c:extLst>
            <c:ext xmlns:c16="http://schemas.microsoft.com/office/drawing/2014/chart" uri="{C3380CC4-5D6E-409C-BE32-E72D297353CC}">
              <c16:uniqueId val="{00000000-D74B-4032-92B0-6186E87CDED4}"/>
            </c:ext>
          </c:extLst>
        </c:ser>
        <c:dLbls>
          <c:dLblPos val="ctr"/>
          <c:showLegendKey val="0"/>
          <c:showVal val="1"/>
          <c:showCatName val="0"/>
          <c:showSerName val="0"/>
          <c:showPercent val="0"/>
          <c:showBubbleSize val="0"/>
        </c:dLbls>
        <c:gapWidth val="150"/>
        <c:overlap val="100"/>
        <c:axId val="1200632544"/>
        <c:axId val="1197350304"/>
      </c:barChart>
      <c:catAx>
        <c:axId val="120063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197350304"/>
        <c:crosses val="autoZero"/>
        <c:auto val="1"/>
        <c:lblAlgn val="ctr"/>
        <c:lblOffset val="100"/>
        <c:noMultiLvlLbl val="0"/>
      </c:catAx>
      <c:valAx>
        <c:axId val="1197350304"/>
        <c:scaling>
          <c:orientation val="minMax"/>
        </c:scaling>
        <c:delete val="1"/>
        <c:axPos val="b"/>
        <c:numFmt formatCode="[&gt;=1000000000]&quot;$&quot;0.0,,,&quot;B&quot;;[&gt;=1000000]&quot;$&quot;0.0,,&quot;M&quot;;&quot;$&quot;#,##0" sourceLinked="1"/>
        <c:majorTickMark val="none"/>
        <c:minorTickMark val="none"/>
        <c:tickLblPos val="nextTo"/>
        <c:crossAx val="120063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57150</xdr:rowOff>
    </xdr:from>
    <xdr:to>
      <xdr:col>6</xdr:col>
      <xdr:colOff>152399</xdr:colOff>
      <xdr:row>11</xdr:row>
      <xdr:rowOff>171449</xdr:rowOff>
    </xdr:to>
    <xdr:graphicFrame macro="">
      <xdr:nvGraphicFramePr>
        <xdr:cNvPr id="2" name="Chart 1">
          <a:extLst>
            <a:ext uri="{FF2B5EF4-FFF2-40B4-BE49-F238E27FC236}">
              <a16:creationId xmlns:a16="http://schemas.microsoft.com/office/drawing/2014/main" id="{6261F626-EEF9-9096-2F9F-74C69C86D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52387</xdr:colOff>
      <xdr:row>12</xdr:row>
      <xdr:rowOff>90487</xdr:rowOff>
    </xdr:from>
    <xdr:to>
      <xdr:col>6</xdr:col>
      <xdr:colOff>133350</xdr:colOff>
      <xdr:row>25</xdr:row>
      <xdr:rowOff>9525</xdr:rowOff>
    </xdr:to>
    <xdr:graphicFrame macro="">
      <xdr:nvGraphicFramePr>
        <xdr:cNvPr id="4" name="Chart 2">
          <a:extLst>
            <a:ext uri="{FF2B5EF4-FFF2-40B4-BE49-F238E27FC236}">
              <a16:creationId xmlns:a16="http://schemas.microsoft.com/office/drawing/2014/main" id="{8F492940-B917-B5CD-3310-444EC0793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290512</xdr:colOff>
      <xdr:row>0</xdr:row>
      <xdr:rowOff>23812</xdr:rowOff>
    </xdr:from>
    <xdr:to>
      <xdr:col>17</xdr:col>
      <xdr:colOff>419100</xdr:colOff>
      <xdr:row>12</xdr:row>
      <xdr:rowOff>38099</xdr:rowOff>
    </xdr:to>
    <xdr:graphicFrame macro="">
      <xdr:nvGraphicFramePr>
        <xdr:cNvPr id="6" name="Chart 4">
          <a:extLst>
            <a:ext uri="{FF2B5EF4-FFF2-40B4-BE49-F238E27FC236}">
              <a16:creationId xmlns:a16="http://schemas.microsoft.com/office/drawing/2014/main" id="{524E6188-DEF9-5925-21E5-D33A4930E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190500</xdr:colOff>
      <xdr:row>0</xdr:row>
      <xdr:rowOff>38100</xdr:rowOff>
    </xdr:from>
    <xdr:to>
      <xdr:col>11</xdr:col>
      <xdr:colOff>223837</xdr:colOff>
      <xdr:row>12</xdr:row>
      <xdr:rowOff>28575</xdr:rowOff>
    </xdr:to>
    <xdr:graphicFrame macro="">
      <xdr:nvGraphicFramePr>
        <xdr:cNvPr id="8" name="Chart 3">
          <a:extLst>
            <a:ext uri="{FF2B5EF4-FFF2-40B4-BE49-F238E27FC236}">
              <a16:creationId xmlns:a16="http://schemas.microsoft.com/office/drawing/2014/main" id="{7BFF027D-DC21-4A8E-85D1-B0ECEF2A8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257175</xdr:colOff>
      <xdr:row>12</xdr:row>
      <xdr:rowOff>85725</xdr:rowOff>
    </xdr:from>
    <xdr:to>
      <xdr:col>13</xdr:col>
      <xdr:colOff>109538</xdr:colOff>
      <xdr:row>25</xdr:row>
      <xdr:rowOff>0</xdr:rowOff>
    </xdr:to>
    <xdr:graphicFrame macro="">
      <xdr:nvGraphicFramePr>
        <xdr:cNvPr id="9" name="Chart 1">
          <a:extLst>
            <a:ext uri="{FF2B5EF4-FFF2-40B4-BE49-F238E27FC236}">
              <a16:creationId xmlns:a16="http://schemas.microsoft.com/office/drawing/2014/main" id="{CE61BC9B-3ED2-4A18-9B53-B1FB0ED77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142875</xdr:colOff>
      <xdr:row>12</xdr:row>
      <xdr:rowOff>109537</xdr:rowOff>
    </xdr:from>
    <xdr:to>
      <xdr:col>19</xdr:col>
      <xdr:colOff>495300</xdr:colOff>
      <xdr:row>24</xdr:row>
      <xdr:rowOff>57150</xdr:rowOff>
    </xdr:to>
    <xdr:graphicFrame macro="">
      <xdr:nvGraphicFramePr>
        <xdr:cNvPr id="5" name="Chart 2">
          <a:extLst>
            <a:ext uri="{FF2B5EF4-FFF2-40B4-BE49-F238E27FC236}">
              <a16:creationId xmlns:a16="http://schemas.microsoft.com/office/drawing/2014/main" id="{50B814CC-894A-EE9C-CD84-E22AFF048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457201</xdr:colOff>
      <xdr:row>0</xdr:row>
      <xdr:rowOff>23812</xdr:rowOff>
    </xdr:from>
    <xdr:to>
      <xdr:col>25</xdr:col>
      <xdr:colOff>0</xdr:colOff>
      <xdr:row>11</xdr:row>
      <xdr:rowOff>19050</xdr:rowOff>
    </xdr:to>
    <xdr:graphicFrame macro="">
      <xdr:nvGraphicFramePr>
        <xdr:cNvPr id="7" name="Chart 3">
          <a:extLst>
            <a:ext uri="{FF2B5EF4-FFF2-40B4-BE49-F238E27FC236}">
              <a16:creationId xmlns:a16="http://schemas.microsoft.com/office/drawing/2014/main" id="{633AE1F7-0E7F-E2AB-2240-7C68E9151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85726</xdr:colOff>
      <xdr:row>48</xdr:row>
      <xdr:rowOff>190499</xdr:rowOff>
    </xdr:to>
    <xdr:sp macro="" textlink="">
      <xdr:nvSpPr>
        <xdr:cNvPr id="2" name="Rectangle 1">
          <a:extLst>
            <a:ext uri="{FF2B5EF4-FFF2-40B4-BE49-F238E27FC236}">
              <a16:creationId xmlns:a16="http://schemas.microsoft.com/office/drawing/2014/main" id="{4C7BADBE-704F-47C7-9710-627F55EE2E71}"/>
            </a:ext>
          </a:extLst>
        </xdr:cNvPr>
        <xdr:cNvSpPr/>
      </xdr:nvSpPr>
      <xdr:spPr>
        <a:xfrm>
          <a:off x="0" y="0"/>
          <a:ext cx="14106526" cy="9334499"/>
        </a:xfrm>
        <a:prstGeom prst="rect">
          <a:avLst/>
        </a:prstGeom>
        <a:solidFill>
          <a:srgbClr val="F0F2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20</xdr:col>
      <xdr:colOff>504825</xdr:colOff>
      <xdr:row>28</xdr:row>
      <xdr:rowOff>142875</xdr:rowOff>
    </xdr:to>
    <xdr:sp macro="" textlink="">
      <xdr:nvSpPr>
        <xdr:cNvPr id="3" name="Rectangle: Rounded Corners 2">
          <a:extLst>
            <a:ext uri="{FF2B5EF4-FFF2-40B4-BE49-F238E27FC236}">
              <a16:creationId xmlns:a16="http://schemas.microsoft.com/office/drawing/2014/main" id="{E56549F8-2151-4CC6-86AE-4A1495D2B894}"/>
            </a:ext>
          </a:extLst>
        </xdr:cNvPr>
        <xdr:cNvSpPr/>
      </xdr:nvSpPr>
      <xdr:spPr>
        <a:xfrm>
          <a:off x="0" y="0"/>
          <a:ext cx="12696825" cy="5476875"/>
        </a:xfrm>
        <a:prstGeom prst="roundRect">
          <a:avLst>
            <a:gd name="adj" fmla="val 0"/>
          </a:avLst>
        </a:prstGeom>
        <a:gradFill>
          <a:gsLst>
            <a:gs pos="0">
              <a:srgbClr val="7678ED"/>
            </a:gs>
            <a:gs pos="100000">
              <a:srgbClr val="F15BB5"/>
            </a:gs>
          </a:gsLst>
          <a:lin ang="8100000" scaled="0"/>
        </a:gradFill>
        <a:ln>
          <a:noFill/>
        </a:ln>
        <a:effectLst>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85725</xdr:rowOff>
    </xdr:from>
    <xdr:to>
      <xdr:col>20</xdr:col>
      <xdr:colOff>190500</xdr:colOff>
      <xdr:row>25</xdr:row>
      <xdr:rowOff>161924</xdr:rowOff>
    </xdr:to>
    <xdr:sp macro="" textlink="">
      <xdr:nvSpPr>
        <xdr:cNvPr id="4" name="Rectangle: Rounded Corners 3">
          <a:extLst>
            <a:ext uri="{FF2B5EF4-FFF2-40B4-BE49-F238E27FC236}">
              <a16:creationId xmlns:a16="http://schemas.microsoft.com/office/drawing/2014/main" id="{BA350209-2FFC-4944-A6E7-B26276D0F420}"/>
            </a:ext>
          </a:extLst>
        </xdr:cNvPr>
        <xdr:cNvSpPr/>
      </xdr:nvSpPr>
      <xdr:spPr>
        <a:xfrm>
          <a:off x="171450" y="85725"/>
          <a:ext cx="12211050" cy="4838699"/>
        </a:xfrm>
        <a:prstGeom prst="roundRect">
          <a:avLst>
            <a:gd name="adj" fmla="val 7321"/>
          </a:avLst>
        </a:prstGeom>
        <a:solidFill>
          <a:schemeClr val="bg1"/>
        </a:solidFill>
        <a:ln w="3175">
          <a:solidFill>
            <a:srgbClr val="FFFFFF">
              <a:alpha val="12941"/>
            </a:srgb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95250</xdr:colOff>
      <xdr:row>4</xdr:row>
      <xdr:rowOff>161924</xdr:rowOff>
    </xdr:from>
    <xdr:to>
      <xdr:col>15</xdr:col>
      <xdr:colOff>152400</xdr:colOff>
      <xdr:row>5</xdr:row>
      <xdr:rowOff>142875</xdr:rowOff>
    </xdr:to>
    <xdr:sp macro="" textlink="">
      <xdr:nvSpPr>
        <xdr:cNvPr id="16" name="TextBox 15">
          <a:extLst>
            <a:ext uri="{FF2B5EF4-FFF2-40B4-BE49-F238E27FC236}">
              <a16:creationId xmlns:a16="http://schemas.microsoft.com/office/drawing/2014/main" id="{469CCE65-4D7E-4F90-A64D-045676612007}"/>
            </a:ext>
          </a:extLst>
        </xdr:cNvPr>
        <xdr:cNvSpPr txBox="1"/>
      </xdr:nvSpPr>
      <xdr:spPr>
        <a:xfrm>
          <a:off x="8020050" y="923924"/>
          <a:ext cx="127635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900" b="1">
            <a:solidFill>
              <a:schemeClr val="tx1"/>
            </a:solidFill>
          </a:endParaRPr>
        </a:p>
      </xdr:txBody>
    </xdr:sp>
    <xdr:clientData/>
  </xdr:twoCellAnchor>
  <xdr:twoCellAnchor>
    <xdr:from>
      <xdr:col>0</xdr:col>
      <xdr:colOff>447674</xdr:colOff>
      <xdr:row>1</xdr:row>
      <xdr:rowOff>19050</xdr:rowOff>
    </xdr:from>
    <xdr:to>
      <xdr:col>20</xdr:col>
      <xdr:colOff>19049</xdr:colOff>
      <xdr:row>25</xdr:row>
      <xdr:rowOff>38100</xdr:rowOff>
    </xdr:to>
    <xdr:sp macro="" textlink="">
      <xdr:nvSpPr>
        <xdr:cNvPr id="26" name="Rectangle: Rounded Corners 25">
          <a:extLst>
            <a:ext uri="{FF2B5EF4-FFF2-40B4-BE49-F238E27FC236}">
              <a16:creationId xmlns:a16="http://schemas.microsoft.com/office/drawing/2014/main" id="{0F02F7A0-B07E-4896-8350-70D0CE98DAFD}"/>
            </a:ext>
          </a:extLst>
        </xdr:cNvPr>
        <xdr:cNvSpPr/>
      </xdr:nvSpPr>
      <xdr:spPr>
        <a:xfrm>
          <a:off x="447674" y="209550"/>
          <a:ext cx="11763375" cy="4591050"/>
        </a:xfrm>
        <a:prstGeom prst="roundRect">
          <a:avLst>
            <a:gd name="adj" fmla="val 5863"/>
          </a:avLst>
        </a:prstGeom>
        <a:solidFill>
          <a:schemeClr val="bg1"/>
        </a:solidFill>
        <a:ln>
          <a:solidFill>
            <a:srgbClr val="7678ED">
              <a:alpha val="7059"/>
            </a:srgbClr>
          </a:solidFill>
        </a:ln>
        <a:effectLst>
          <a:outerShdw blurRad="63500" sx="101000" sy="101000" algn="ctr"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581026</xdr:colOff>
      <xdr:row>1</xdr:row>
      <xdr:rowOff>95250</xdr:rowOff>
    </xdr:from>
    <xdr:to>
      <xdr:col>19</xdr:col>
      <xdr:colOff>409576</xdr:colOff>
      <xdr:row>3</xdr:row>
      <xdr:rowOff>66675</xdr:rowOff>
    </xdr:to>
    <xdr:sp macro="" textlink="">
      <xdr:nvSpPr>
        <xdr:cNvPr id="27" name="Rectangle: Rounded Corners 26">
          <a:extLst>
            <a:ext uri="{FF2B5EF4-FFF2-40B4-BE49-F238E27FC236}">
              <a16:creationId xmlns:a16="http://schemas.microsoft.com/office/drawing/2014/main" id="{8ED15D7B-4A90-4328-8D7E-DE794126057C}"/>
            </a:ext>
          </a:extLst>
        </xdr:cNvPr>
        <xdr:cNvSpPr/>
      </xdr:nvSpPr>
      <xdr:spPr>
        <a:xfrm>
          <a:off x="581026" y="285750"/>
          <a:ext cx="11410950" cy="352425"/>
        </a:xfrm>
        <a:prstGeom prst="roundRect">
          <a:avLst>
            <a:gd name="adj" fmla="val 49100"/>
          </a:avLst>
        </a:prstGeom>
        <a:solidFill>
          <a:srgbClr val="7678ED">
            <a:alpha val="56863"/>
          </a:srgb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76199</xdr:colOff>
      <xdr:row>1</xdr:row>
      <xdr:rowOff>95250</xdr:rowOff>
    </xdr:from>
    <xdr:to>
      <xdr:col>13</xdr:col>
      <xdr:colOff>523874</xdr:colOff>
      <xdr:row>2</xdr:row>
      <xdr:rowOff>180975</xdr:rowOff>
    </xdr:to>
    <xdr:sp macro="" textlink="">
      <xdr:nvSpPr>
        <xdr:cNvPr id="28" name="TextBox 27">
          <a:extLst>
            <a:ext uri="{FF2B5EF4-FFF2-40B4-BE49-F238E27FC236}">
              <a16:creationId xmlns:a16="http://schemas.microsoft.com/office/drawing/2014/main" id="{47F12FD5-2782-4AD5-BF57-3FAAC5350EDD}"/>
            </a:ext>
          </a:extLst>
        </xdr:cNvPr>
        <xdr:cNvSpPr txBox="1"/>
      </xdr:nvSpPr>
      <xdr:spPr>
        <a:xfrm>
          <a:off x="3733799" y="285750"/>
          <a:ext cx="4714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latin typeface="Times New Roman" panose="02020603050405020304" pitchFamily="18" charset="0"/>
              <a:cs typeface="Times New Roman" panose="02020603050405020304" pitchFamily="18" charset="0"/>
            </a:rPr>
            <a:t>Executive HR Analytics</a:t>
          </a:r>
          <a:r>
            <a:rPr lang="en-US" sz="1600" b="1" baseline="0">
              <a:solidFill>
                <a:schemeClr val="tx1"/>
              </a:solidFill>
              <a:latin typeface="Times New Roman" panose="02020603050405020304" pitchFamily="18" charset="0"/>
              <a:cs typeface="Times New Roman" panose="02020603050405020304" pitchFamily="18" charset="0"/>
            </a:rPr>
            <a:t> Dashboard</a:t>
          </a:r>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561974</xdr:colOff>
      <xdr:row>3</xdr:row>
      <xdr:rowOff>180974</xdr:rowOff>
    </xdr:from>
    <xdr:to>
      <xdr:col>3</xdr:col>
      <xdr:colOff>400049</xdr:colOff>
      <xdr:row>24</xdr:row>
      <xdr:rowOff>57149</xdr:rowOff>
    </xdr:to>
    <xdr:sp macro="" textlink="">
      <xdr:nvSpPr>
        <xdr:cNvPr id="29" name="Rectangle: Rounded Corners 28">
          <a:extLst>
            <a:ext uri="{FF2B5EF4-FFF2-40B4-BE49-F238E27FC236}">
              <a16:creationId xmlns:a16="http://schemas.microsoft.com/office/drawing/2014/main" id="{8B2EB0D3-884B-49EA-84EB-5D84147C43FC}"/>
            </a:ext>
          </a:extLst>
        </xdr:cNvPr>
        <xdr:cNvSpPr/>
      </xdr:nvSpPr>
      <xdr:spPr>
        <a:xfrm>
          <a:off x="561974" y="752474"/>
          <a:ext cx="1666875" cy="3876675"/>
        </a:xfrm>
        <a:prstGeom prst="roundRect">
          <a:avLst>
            <a:gd name="adj" fmla="val 5238"/>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28574</xdr:colOff>
      <xdr:row>4</xdr:row>
      <xdr:rowOff>9526</xdr:rowOff>
    </xdr:from>
    <xdr:to>
      <xdr:col>3</xdr:col>
      <xdr:colOff>180975</xdr:colOff>
      <xdr:row>8</xdr:row>
      <xdr:rowOff>133350</xdr:rowOff>
    </xdr:to>
    <mc:AlternateContent xmlns:mc="http://schemas.openxmlformats.org/markup-compatibility/2006" xmlns:a14="http://schemas.microsoft.com/office/drawing/2010/main">
      <mc:Choice Requires="a14">
        <xdr:graphicFrame macro="">
          <xdr:nvGraphicFramePr>
            <xdr:cNvPr id="30" name="Emp ID 1">
              <a:extLst>
                <a:ext uri="{FF2B5EF4-FFF2-40B4-BE49-F238E27FC236}">
                  <a16:creationId xmlns:a16="http://schemas.microsoft.com/office/drawing/2014/main" id="{1E8F7AD2-876F-4D89-BC01-56DC00110F01}"/>
                </a:ext>
              </a:extLst>
            </xdr:cNvPr>
            <xdr:cNvGraphicFramePr/>
          </xdr:nvGraphicFramePr>
          <xdr:xfrm>
            <a:off x="0" y="0"/>
            <a:ext cx="0" cy="0"/>
          </xdr:xfrm>
          <a:graphic>
            <a:graphicData uri="http://schemas.microsoft.com/office/drawing/2010/slicer">
              <sle:slicer xmlns:sle="http://schemas.microsoft.com/office/drawing/2010/slicer" name="Emp ID 1"/>
            </a:graphicData>
          </a:graphic>
        </xdr:graphicFrame>
      </mc:Choice>
      <mc:Fallback xmlns="">
        <xdr:sp macro="" textlink="">
          <xdr:nvSpPr>
            <xdr:cNvPr id="0" name=""/>
            <xdr:cNvSpPr>
              <a:spLocks noTextEdit="1"/>
            </xdr:cNvSpPr>
          </xdr:nvSpPr>
          <xdr:spPr>
            <a:xfrm>
              <a:off x="638174" y="771526"/>
              <a:ext cx="1371601" cy="885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609599</xdr:colOff>
      <xdr:row>18</xdr:row>
      <xdr:rowOff>57149</xdr:rowOff>
    </xdr:from>
    <xdr:to>
      <xdr:col>3</xdr:col>
      <xdr:colOff>133350</xdr:colOff>
      <xdr:row>22</xdr:row>
      <xdr:rowOff>190499</xdr:rowOff>
    </xdr:to>
    <mc:AlternateContent xmlns:mc="http://schemas.openxmlformats.org/markup-compatibility/2006" xmlns:a14="http://schemas.microsoft.com/office/drawing/2010/main">
      <mc:Choice Requires="a14">
        <xdr:graphicFrame macro="">
          <xdr:nvGraphicFramePr>
            <xdr:cNvPr id="31" name="Performance Band 1">
              <a:extLst>
                <a:ext uri="{FF2B5EF4-FFF2-40B4-BE49-F238E27FC236}">
                  <a16:creationId xmlns:a16="http://schemas.microsoft.com/office/drawing/2014/main" id="{4269FF04-8D88-4B26-BD73-9E3871F1139B}"/>
                </a:ext>
              </a:extLst>
            </xdr:cNvPr>
            <xdr:cNvGraphicFramePr/>
          </xdr:nvGraphicFramePr>
          <xdr:xfrm>
            <a:off x="0" y="0"/>
            <a:ext cx="0" cy="0"/>
          </xdr:xfrm>
          <a:graphic>
            <a:graphicData uri="http://schemas.microsoft.com/office/drawing/2010/slicer">
              <sle:slicer xmlns:sle="http://schemas.microsoft.com/office/drawing/2010/slicer" name="Performance Band 1"/>
            </a:graphicData>
          </a:graphic>
        </xdr:graphicFrame>
      </mc:Choice>
      <mc:Fallback xmlns="">
        <xdr:sp macro="" textlink="">
          <xdr:nvSpPr>
            <xdr:cNvPr id="0" name=""/>
            <xdr:cNvSpPr>
              <a:spLocks noTextEdit="1"/>
            </xdr:cNvSpPr>
          </xdr:nvSpPr>
          <xdr:spPr>
            <a:xfrm>
              <a:off x="609599" y="3486149"/>
              <a:ext cx="1352551"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600075</xdr:colOff>
      <xdr:row>9</xdr:row>
      <xdr:rowOff>38099</xdr:rowOff>
    </xdr:from>
    <xdr:to>
      <xdr:col>3</xdr:col>
      <xdr:colOff>171451</xdr:colOff>
      <xdr:row>13</xdr:row>
      <xdr:rowOff>76199</xdr:rowOff>
    </xdr:to>
    <mc:AlternateContent xmlns:mc="http://schemas.openxmlformats.org/markup-compatibility/2006" xmlns:a14="http://schemas.microsoft.com/office/drawing/2010/main">
      <mc:Choice Requires="a14">
        <xdr:graphicFrame macro="">
          <xdr:nvGraphicFramePr>
            <xdr:cNvPr id="32" name="Department Name 1">
              <a:extLst>
                <a:ext uri="{FF2B5EF4-FFF2-40B4-BE49-F238E27FC236}">
                  <a16:creationId xmlns:a16="http://schemas.microsoft.com/office/drawing/2014/main" id="{C71C45E7-288C-4DE3-9F6A-9D2BAF6884BE}"/>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600075" y="1752599"/>
              <a:ext cx="1400176"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581025</xdr:colOff>
      <xdr:row>13</xdr:row>
      <xdr:rowOff>171449</xdr:rowOff>
    </xdr:from>
    <xdr:to>
      <xdr:col>3</xdr:col>
      <xdr:colOff>133351</xdr:colOff>
      <xdr:row>18</xdr:row>
      <xdr:rowOff>142874</xdr:rowOff>
    </xdr:to>
    <mc:AlternateContent xmlns:mc="http://schemas.openxmlformats.org/markup-compatibility/2006" xmlns:a14="http://schemas.microsoft.com/office/drawing/2010/main">
      <mc:Choice Requires="a14">
        <xdr:graphicFrame macro="">
          <xdr:nvGraphicFramePr>
            <xdr:cNvPr id="33" name="Employment Status3 1">
              <a:extLst>
                <a:ext uri="{FF2B5EF4-FFF2-40B4-BE49-F238E27FC236}">
                  <a16:creationId xmlns:a16="http://schemas.microsoft.com/office/drawing/2014/main" id="{10E256B5-23DA-4FE6-9759-7663A8FA7A2B}"/>
                </a:ext>
              </a:extLst>
            </xdr:cNvPr>
            <xdr:cNvGraphicFramePr/>
          </xdr:nvGraphicFramePr>
          <xdr:xfrm>
            <a:off x="0" y="0"/>
            <a:ext cx="0" cy="0"/>
          </xdr:xfrm>
          <a:graphic>
            <a:graphicData uri="http://schemas.microsoft.com/office/drawing/2010/slicer">
              <sle:slicer xmlns:sle="http://schemas.microsoft.com/office/drawing/2010/slicer" name="Employment Status3 1"/>
            </a:graphicData>
          </a:graphic>
        </xdr:graphicFrame>
      </mc:Choice>
      <mc:Fallback xmlns="">
        <xdr:sp macro="" textlink="">
          <xdr:nvSpPr>
            <xdr:cNvPr id="0" name=""/>
            <xdr:cNvSpPr>
              <a:spLocks noTextEdit="1"/>
            </xdr:cNvSpPr>
          </xdr:nvSpPr>
          <xdr:spPr>
            <a:xfrm>
              <a:off x="581025" y="2647949"/>
              <a:ext cx="1381126"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438149</xdr:colOff>
      <xdr:row>3</xdr:row>
      <xdr:rowOff>171450</xdr:rowOff>
    </xdr:from>
    <xdr:to>
      <xdr:col>6</xdr:col>
      <xdr:colOff>314324</xdr:colOff>
      <xdr:row>6</xdr:row>
      <xdr:rowOff>28575</xdr:rowOff>
    </xdr:to>
    <xdr:sp macro="" textlink="Analysis!B10">
      <xdr:nvSpPr>
        <xdr:cNvPr id="34" name="Rectangle: Rounded Corners 33">
          <a:extLst>
            <a:ext uri="{FF2B5EF4-FFF2-40B4-BE49-F238E27FC236}">
              <a16:creationId xmlns:a16="http://schemas.microsoft.com/office/drawing/2014/main" id="{1FEE79C4-7981-4F0B-B9B7-3DB376B95C41}"/>
            </a:ext>
          </a:extLst>
        </xdr:cNvPr>
        <xdr:cNvSpPr/>
      </xdr:nvSpPr>
      <xdr:spPr>
        <a:xfrm>
          <a:off x="2266949" y="742950"/>
          <a:ext cx="1704975" cy="428625"/>
        </a:xfrm>
        <a:prstGeom prst="roundRect">
          <a:avLst>
            <a:gd name="adj" fmla="val 22222"/>
          </a:avLst>
        </a:prstGeom>
        <a:solidFill>
          <a:srgbClr val="7678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7161B1-4B95-4F98-97CA-CBF4FF715B41}" type="TxLink">
            <a:rPr lang="en-US" sz="1100" b="1" i="0" u="none" strike="noStrike">
              <a:solidFill>
                <a:srgbClr val="000000"/>
              </a:solidFill>
              <a:latin typeface="Calibri"/>
              <a:ea typeface="Calibri"/>
              <a:cs typeface="Calibri"/>
            </a:rPr>
            <a:t>150</a:t>
          </a:fld>
          <a:endParaRPr lang="en-US" sz="1200" b="1"/>
        </a:p>
      </xdr:txBody>
    </xdr:sp>
    <xdr:clientData/>
  </xdr:twoCellAnchor>
  <xdr:twoCellAnchor>
    <xdr:from>
      <xdr:col>4</xdr:col>
      <xdr:colOff>190500</xdr:colOff>
      <xdr:row>4</xdr:row>
      <xdr:rowOff>190499</xdr:rowOff>
    </xdr:from>
    <xdr:to>
      <xdr:col>6</xdr:col>
      <xdr:colOff>0</xdr:colOff>
      <xdr:row>5</xdr:row>
      <xdr:rowOff>180974</xdr:rowOff>
    </xdr:to>
    <xdr:sp macro="" textlink="">
      <xdr:nvSpPr>
        <xdr:cNvPr id="35" name="TextBox 34">
          <a:extLst>
            <a:ext uri="{FF2B5EF4-FFF2-40B4-BE49-F238E27FC236}">
              <a16:creationId xmlns:a16="http://schemas.microsoft.com/office/drawing/2014/main" id="{D64AA04F-8784-48F2-B050-3A86D43D1626}"/>
            </a:ext>
          </a:extLst>
        </xdr:cNvPr>
        <xdr:cNvSpPr txBox="1"/>
      </xdr:nvSpPr>
      <xdr:spPr>
        <a:xfrm>
          <a:off x="2628900" y="952499"/>
          <a:ext cx="10287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Total Employee</a:t>
          </a:r>
        </a:p>
      </xdr:txBody>
    </xdr:sp>
    <xdr:clientData/>
  </xdr:twoCellAnchor>
  <xdr:twoCellAnchor>
    <xdr:from>
      <xdr:col>6</xdr:col>
      <xdr:colOff>342899</xdr:colOff>
      <xdr:row>3</xdr:row>
      <xdr:rowOff>180975</xdr:rowOff>
    </xdr:from>
    <xdr:to>
      <xdr:col>9</xdr:col>
      <xdr:colOff>295274</xdr:colOff>
      <xdr:row>6</xdr:row>
      <xdr:rowOff>38100</xdr:rowOff>
    </xdr:to>
    <xdr:sp macro="" textlink="Analysis!B26">
      <xdr:nvSpPr>
        <xdr:cNvPr id="37" name="Rectangle: Rounded Corners 36">
          <a:extLst>
            <a:ext uri="{FF2B5EF4-FFF2-40B4-BE49-F238E27FC236}">
              <a16:creationId xmlns:a16="http://schemas.microsoft.com/office/drawing/2014/main" id="{DD26F633-2E2B-4826-A6AA-EDFCF500A313}"/>
            </a:ext>
          </a:extLst>
        </xdr:cNvPr>
        <xdr:cNvSpPr/>
      </xdr:nvSpPr>
      <xdr:spPr>
        <a:xfrm>
          <a:off x="4000499" y="752475"/>
          <a:ext cx="1781175" cy="428625"/>
        </a:xfrm>
        <a:prstGeom prst="roundRect">
          <a:avLst>
            <a:gd name="adj" fmla="val 22222"/>
          </a:avLst>
        </a:prstGeom>
        <a:solidFill>
          <a:srgbClr val="7678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EFE8F80-EAB5-44CA-8A83-F2766F63FCB2}" type="TxLink">
            <a:rPr lang="en-US" sz="1100" b="1" i="0" u="none" strike="noStrike">
              <a:solidFill>
                <a:srgbClr val="000000"/>
              </a:solidFill>
              <a:latin typeface="Calibri"/>
              <a:ea typeface="Calibri"/>
              <a:cs typeface="Calibri"/>
            </a:rPr>
            <a:t>$83,604</a:t>
          </a:fld>
          <a:endParaRPr lang="en-US" sz="1200" b="1"/>
        </a:p>
      </xdr:txBody>
    </xdr:sp>
    <xdr:clientData/>
  </xdr:twoCellAnchor>
  <xdr:twoCellAnchor>
    <xdr:from>
      <xdr:col>7</xdr:col>
      <xdr:colOff>190500</xdr:colOff>
      <xdr:row>4</xdr:row>
      <xdr:rowOff>180974</xdr:rowOff>
    </xdr:from>
    <xdr:to>
      <xdr:col>9</xdr:col>
      <xdr:colOff>0</xdr:colOff>
      <xdr:row>5</xdr:row>
      <xdr:rowOff>171449</xdr:rowOff>
    </xdr:to>
    <xdr:sp macro="" textlink="">
      <xdr:nvSpPr>
        <xdr:cNvPr id="38" name="TextBox 37">
          <a:extLst>
            <a:ext uri="{FF2B5EF4-FFF2-40B4-BE49-F238E27FC236}">
              <a16:creationId xmlns:a16="http://schemas.microsoft.com/office/drawing/2014/main" id="{FA7D1AE1-E79B-40CC-B91E-E22ED424106E}"/>
            </a:ext>
          </a:extLst>
        </xdr:cNvPr>
        <xdr:cNvSpPr txBox="1"/>
      </xdr:nvSpPr>
      <xdr:spPr>
        <a:xfrm>
          <a:off x="4457700" y="942974"/>
          <a:ext cx="10287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Average</a:t>
          </a:r>
          <a:r>
            <a:rPr lang="en-US" sz="1000" b="1" baseline="0">
              <a:solidFill>
                <a:schemeClr val="tx1"/>
              </a:solidFill>
            </a:rPr>
            <a:t> Salary</a:t>
          </a:r>
          <a:endParaRPr lang="en-US" sz="1000" b="1">
            <a:solidFill>
              <a:schemeClr val="tx1"/>
            </a:solidFill>
          </a:endParaRPr>
        </a:p>
      </xdr:txBody>
    </xdr:sp>
    <xdr:clientData/>
  </xdr:twoCellAnchor>
  <xdr:twoCellAnchor>
    <xdr:from>
      <xdr:col>9</xdr:col>
      <xdr:colOff>333374</xdr:colOff>
      <xdr:row>3</xdr:row>
      <xdr:rowOff>180975</xdr:rowOff>
    </xdr:from>
    <xdr:to>
      <xdr:col>12</xdr:col>
      <xdr:colOff>295274</xdr:colOff>
      <xdr:row>6</xdr:row>
      <xdr:rowOff>38100</xdr:rowOff>
    </xdr:to>
    <xdr:sp macro="" textlink="Analysis!I21">
      <xdr:nvSpPr>
        <xdr:cNvPr id="39" name="Rectangle: Rounded Corners 38">
          <a:extLst>
            <a:ext uri="{FF2B5EF4-FFF2-40B4-BE49-F238E27FC236}">
              <a16:creationId xmlns:a16="http://schemas.microsoft.com/office/drawing/2014/main" id="{B3DAB08F-B22E-4052-9F64-0134A4D64603}"/>
            </a:ext>
          </a:extLst>
        </xdr:cNvPr>
        <xdr:cNvSpPr/>
      </xdr:nvSpPr>
      <xdr:spPr>
        <a:xfrm>
          <a:off x="5819774" y="752475"/>
          <a:ext cx="1790700" cy="428625"/>
        </a:xfrm>
        <a:prstGeom prst="roundRect">
          <a:avLst>
            <a:gd name="adj" fmla="val 22222"/>
          </a:avLst>
        </a:prstGeom>
        <a:solidFill>
          <a:srgbClr val="7678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7DE076-1A75-4145-B0FC-16556AEFA5DB}" type="TxLink">
            <a:rPr lang="en-US" sz="1100" b="1" i="0" u="none" strike="noStrike">
              <a:solidFill>
                <a:srgbClr val="000000"/>
              </a:solidFill>
              <a:latin typeface="Calibri"/>
              <a:ea typeface="Calibri"/>
              <a:cs typeface="Calibri"/>
            </a:rPr>
            <a:t>22.67%</a:t>
          </a:fld>
          <a:endParaRPr lang="en-US" sz="1200" b="1"/>
        </a:p>
      </xdr:txBody>
    </xdr:sp>
    <xdr:clientData/>
  </xdr:twoCellAnchor>
  <xdr:twoCellAnchor>
    <xdr:from>
      <xdr:col>10</xdr:col>
      <xdr:colOff>228599</xdr:colOff>
      <xdr:row>4</xdr:row>
      <xdr:rowOff>190499</xdr:rowOff>
    </xdr:from>
    <xdr:to>
      <xdr:col>12</xdr:col>
      <xdr:colOff>38099</xdr:colOff>
      <xdr:row>5</xdr:row>
      <xdr:rowOff>180974</xdr:rowOff>
    </xdr:to>
    <xdr:sp macro="" textlink="">
      <xdr:nvSpPr>
        <xdr:cNvPr id="40" name="TextBox 39">
          <a:extLst>
            <a:ext uri="{FF2B5EF4-FFF2-40B4-BE49-F238E27FC236}">
              <a16:creationId xmlns:a16="http://schemas.microsoft.com/office/drawing/2014/main" id="{BF84E6BF-78A2-4A74-A0BF-AFFAA96A366B}"/>
            </a:ext>
          </a:extLst>
        </xdr:cNvPr>
        <xdr:cNvSpPr txBox="1"/>
      </xdr:nvSpPr>
      <xdr:spPr>
        <a:xfrm>
          <a:off x="6324599" y="952499"/>
          <a:ext cx="10287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Attrition Rate</a:t>
          </a:r>
        </a:p>
      </xdr:txBody>
    </xdr:sp>
    <xdr:clientData/>
  </xdr:twoCellAnchor>
  <xdr:twoCellAnchor>
    <xdr:from>
      <xdr:col>12</xdr:col>
      <xdr:colOff>342899</xdr:colOff>
      <xdr:row>3</xdr:row>
      <xdr:rowOff>180975</xdr:rowOff>
    </xdr:from>
    <xdr:to>
      <xdr:col>15</xdr:col>
      <xdr:colOff>390524</xdr:colOff>
      <xdr:row>6</xdr:row>
      <xdr:rowOff>38100</xdr:rowOff>
    </xdr:to>
    <xdr:sp macro="" textlink="Analysis!G27">
      <xdr:nvSpPr>
        <xdr:cNvPr id="41" name="Rectangle: Rounded Corners 40">
          <a:extLst>
            <a:ext uri="{FF2B5EF4-FFF2-40B4-BE49-F238E27FC236}">
              <a16:creationId xmlns:a16="http://schemas.microsoft.com/office/drawing/2014/main" id="{018DEF93-4A22-4207-96AD-CAAE31FC87DC}"/>
            </a:ext>
          </a:extLst>
        </xdr:cNvPr>
        <xdr:cNvSpPr/>
      </xdr:nvSpPr>
      <xdr:spPr>
        <a:xfrm>
          <a:off x="7658099" y="752475"/>
          <a:ext cx="1876425" cy="428625"/>
        </a:xfrm>
        <a:prstGeom prst="roundRect">
          <a:avLst>
            <a:gd name="adj" fmla="val 24444"/>
          </a:avLst>
        </a:prstGeom>
        <a:solidFill>
          <a:srgbClr val="7678E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48C435A-EF91-4E49-A79F-C6186A56AC9F}" type="TxLink">
            <a:rPr lang="en-US" sz="1100" b="1" i="0" u="none" strike="noStrike">
              <a:solidFill>
                <a:srgbClr val="000000"/>
              </a:solidFill>
              <a:latin typeface="Calibri"/>
              <a:ea typeface="Calibri"/>
              <a:cs typeface="Calibri"/>
            </a:rPr>
            <a:t>6</a:t>
          </a:fld>
          <a:endParaRPr lang="en-US" sz="1400" b="1"/>
        </a:p>
      </xdr:txBody>
    </xdr:sp>
    <xdr:clientData/>
  </xdr:twoCellAnchor>
  <xdr:twoCellAnchor>
    <xdr:from>
      <xdr:col>13</xdr:col>
      <xdr:colOff>285749</xdr:colOff>
      <xdr:row>5</xdr:row>
      <xdr:rowOff>57149</xdr:rowOff>
    </xdr:from>
    <xdr:to>
      <xdr:col>15</xdr:col>
      <xdr:colOff>342899</xdr:colOff>
      <xdr:row>6</xdr:row>
      <xdr:rowOff>38100</xdr:rowOff>
    </xdr:to>
    <xdr:sp macro="" textlink="">
      <xdr:nvSpPr>
        <xdr:cNvPr id="42" name="TextBox 41">
          <a:extLst>
            <a:ext uri="{FF2B5EF4-FFF2-40B4-BE49-F238E27FC236}">
              <a16:creationId xmlns:a16="http://schemas.microsoft.com/office/drawing/2014/main" id="{9BD17E1F-B7FE-4EA6-A7CC-73FD8D2E9B89}"/>
            </a:ext>
          </a:extLst>
        </xdr:cNvPr>
        <xdr:cNvSpPr txBox="1"/>
      </xdr:nvSpPr>
      <xdr:spPr>
        <a:xfrm>
          <a:off x="8210549" y="1009649"/>
          <a:ext cx="127635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solidFill>
            </a:rPr>
            <a:t>Avg Year of Service</a:t>
          </a:r>
        </a:p>
      </xdr:txBody>
    </xdr:sp>
    <xdr:clientData/>
  </xdr:twoCellAnchor>
  <xdr:twoCellAnchor>
    <xdr:from>
      <xdr:col>9</xdr:col>
      <xdr:colOff>557213</xdr:colOff>
      <xdr:row>6</xdr:row>
      <xdr:rowOff>80964</xdr:rowOff>
    </xdr:from>
    <xdr:to>
      <xdr:col>14</xdr:col>
      <xdr:colOff>57150</xdr:colOff>
      <xdr:row>14</xdr:row>
      <xdr:rowOff>142875</xdr:rowOff>
    </xdr:to>
    <xdr:graphicFrame macro="">
      <xdr:nvGraphicFramePr>
        <xdr:cNvPr id="44" name="Chart 3">
          <a:extLst>
            <a:ext uri="{FF2B5EF4-FFF2-40B4-BE49-F238E27FC236}">
              <a16:creationId xmlns:a16="http://schemas.microsoft.com/office/drawing/2014/main" id="{3E670EA5-B5CA-BFE5-4092-F36623FDC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428625</xdr:colOff>
      <xdr:row>15</xdr:row>
      <xdr:rowOff>47625</xdr:rowOff>
    </xdr:from>
    <xdr:to>
      <xdr:col>11</xdr:col>
      <xdr:colOff>190500</xdr:colOff>
      <xdr:row>24</xdr:row>
      <xdr:rowOff>47624</xdr:rowOff>
    </xdr:to>
    <xdr:graphicFrame macro="">
      <xdr:nvGraphicFramePr>
        <xdr:cNvPr id="46" name="Chart 4">
          <a:extLst>
            <a:ext uri="{FF2B5EF4-FFF2-40B4-BE49-F238E27FC236}">
              <a16:creationId xmlns:a16="http://schemas.microsoft.com/office/drawing/2014/main" id="{9F0CBA6E-A003-150B-81C9-48F7AC612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15</xdr:row>
      <xdr:rowOff>57150</xdr:rowOff>
    </xdr:from>
    <xdr:to>
      <xdr:col>19</xdr:col>
      <xdr:colOff>476250</xdr:colOff>
      <xdr:row>24</xdr:row>
      <xdr:rowOff>47625</xdr:rowOff>
    </xdr:to>
    <xdr:graphicFrame macro="">
      <xdr:nvGraphicFramePr>
        <xdr:cNvPr id="47" name="Chart 2">
          <a:extLst>
            <a:ext uri="{FF2B5EF4-FFF2-40B4-BE49-F238E27FC236}">
              <a16:creationId xmlns:a16="http://schemas.microsoft.com/office/drawing/2014/main" id="{55E49E16-63AF-085E-C541-F03C4A70A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438151</xdr:colOff>
      <xdr:row>6</xdr:row>
      <xdr:rowOff>76202</xdr:rowOff>
    </xdr:from>
    <xdr:to>
      <xdr:col>9</xdr:col>
      <xdr:colOff>533401</xdr:colOff>
      <xdr:row>14</xdr:row>
      <xdr:rowOff>142875</xdr:rowOff>
    </xdr:to>
    <xdr:graphicFrame macro="">
      <xdr:nvGraphicFramePr>
        <xdr:cNvPr id="5" name="Chart 2">
          <a:extLst>
            <a:ext uri="{FF2B5EF4-FFF2-40B4-BE49-F238E27FC236}">
              <a16:creationId xmlns:a16="http://schemas.microsoft.com/office/drawing/2014/main" id="{10EEF233-6797-46DE-938F-F23645379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104774</xdr:colOff>
      <xdr:row>6</xdr:row>
      <xdr:rowOff>85726</xdr:rowOff>
    </xdr:from>
    <xdr:to>
      <xdr:col>19</xdr:col>
      <xdr:colOff>466725</xdr:colOff>
      <xdr:row>14</xdr:row>
      <xdr:rowOff>142876</xdr:rowOff>
    </xdr:to>
    <xdr:graphicFrame macro="">
      <xdr:nvGraphicFramePr>
        <xdr:cNvPr id="6" name="Chart 3">
          <a:extLst>
            <a:ext uri="{FF2B5EF4-FFF2-40B4-BE49-F238E27FC236}">
              <a16:creationId xmlns:a16="http://schemas.microsoft.com/office/drawing/2014/main" id="{6C4C14DC-F3BA-4F29-9214-1FD3A31AB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192300925926" createdVersion="8" refreshedVersion="8" minRefreshableVersion="3" recordCount="151" xr:uid="{E8619803-1E34-46AE-BEF4-E23486137E3B}">
  <cacheSource type="worksheet">
    <worksheetSource ref="A1:Q1048576" sheet="Cleaned Data"/>
  </cacheSource>
  <cacheFields count="18">
    <cacheField name="Emp ID" numFmtId="0">
      <sharedItems containsBlank="1" count="151">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m/>
      </sharedItems>
    </cacheField>
    <cacheField name="First_Name" numFmtId="0">
      <sharedItems containsBlank="1"/>
    </cacheField>
    <cacheField name="Last_Name" numFmtId="0">
      <sharedItems containsBlank="1"/>
    </cacheField>
    <cacheField name="Full Name" numFmtId="0">
      <sharedItems containsBlank="1" count="110">
        <s v="Emily Brown"/>
        <s v="Richard Hernandez"/>
        <s v="Emily Gonzalez"/>
        <s v="John Martinez"/>
        <s v="Thomas Smith"/>
        <s v="Emily Johnson"/>
        <s v="John Wilson"/>
        <s v="Jessica Smith"/>
        <s v="- Rodriguez"/>
        <s v="Michael Martinez"/>
        <s v="Emily Miller"/>
        <s v="Emily Hernandez"/>
        <s v="Jane Williams"/>
        <s v="Jane Miller"/>
        <s v="Robert Jones"/>
        <s v="Thomas Rodriguez"/>
        <s v="Emily Davis"/>
        <s v="James Martinez"/>
        <s v="Ashley Lopez"/>
        <s v="Amanda Gonzalez"/>
        <s v="Michael Hernandez"/>
        <s v="Michael Rodriguez"/>
        <s v="Jessica Johnson"/>
        <s v="Ashley Williams"/>
        <s v="- Williams"/>
        <s v="Michael Wilson"/>
        <s v="John Rodriguez"/>
        <s v="Thomas Hernandez"/>
        <s v="Michael Johnson"/>
        <s v="Sarah Brown"/>
        <s v="Jane Martinez"/>
        <s v="Emily Jones"/>
        <s v="- Brown"/>
        <s v="Melissa Brown"/>
        <s v="Michael Smith"/>
        <s v="Sarah Miller"/>
        <s v="Emily Wilson"/>
        <s v="David Hernandez"/>
        <s v="James Smith"/>
        <s v="Sarah Williams"/>
        <s v="Amanda Lopez"/>
        <s v="Thomas Lopez"/>
        <s v="Melissa Johnson"/>
        <s v="Amanda Johnson"/>
        <s v="John Davis"/>
        <s v="James Johnson"/>
        <s v="Jane Davis"/>
        <s v="Richard Davis"/>
        <s v="Emily Garcia"/>
        <s v="Jane Anderson"/>
        <s v="Thomas Garcia"/>
        <s v="David Martinez"/>
        <s v="Michael Anderson"/>
        <s v="Robert Johnson"/>
        <s v="Robert Miller"/>
        <s v="Thomas Davis"/>
        <s v="Thomas Jones"/>
        <s v="Michael Miller"/>
        <s v="Richard Gonzalez"/>
        <s v="Melissa Williams"/>
        <s v="William Garcia"/>
        <s v="John Gonzalez"/>
        <s v="James Gonzalez"/>
        <s v="Jane Gonzalez"/>
        <s v="David Wilson"/>
        <s v="Jane Rodriguez"/>
        <s v="Jessica Garcia"/>
        <s v="Richard Smith"/>
        <s v="Melissa Wilson"/>
        <s v="Thomas Williams"/>
        <s v="David Williams"/>
        <s v="John Johnson"/>
        <s v="Melissa Anderson"/>
        <s v="William Gonzalez"/>
        <s v="Jessica Anderson"/>
        <s v="Thomas Miller"/>
        <s v="- Smith"/>
        <s v="Jane Johnson"/>
        <s v="John Jones"/>
        <s v="Jane Lopez"/>
        <s v="Melissa Gonzalez"/>
        <s v="William Davis"/>
        <s v="John Smith"/>
        <s v="William Williams"/>
        <s v="James Jones"/>
        <s v="Jessica Gonzalez"/>
        <s v="Amanda Brown"/>
        <s v="Robert Martinez"/>
        <s v="David Rodriguez"/>
        <s v="James Rodriguez"/>
        <s v="Sarah Rodriguez"/>
        <s v="Sarah Wilson"/>
        <s v="Robert Williams"/>
        <s v="Melissa Rodriguez"/>
        <s v="William Jones"/>
        <s v="David Anderson"/>
        <s v="Sarah Smith"/>
        <s v="Melissa Hernandez"/>
        <s v="Jane Garcia"/>
        <s v="David Davis"/>
        <s v="James Wilson"/>
        <s v="Richard Johnson"/>
        <s v="Richard Williams"/>
        <s v="John Hernandez"/>
        <s v="Sarah Gonzalez"/>
        <s v="- Jones"/>
        <s v="William Rodriguez"/>
        <s v="Melissa Miller"/>
        <s v="Emily Martinez"/>
        <m/>
      </sharedItems>
    </cacheField>
    <cacheField name="Department Name" numFmtId="0">
      <sharedItems containsBlank="1" count="7">
        <s v="Information Technology"/>
        <s v="Marketing"/>
        <s v="Finance"/>
        <s v="Operations"/>
        <s v="Sales"/>
        <s v="Human Resources"/>
        <m/>
      </sharedItems>
    </cacheField>
    <cacheField name="Department Code" numFmtId="0">
      <sharedItems containsBlank="1"/>
    </cacheField>
    <cacheField name="Dept Code" numFmtId="0">
      <sharedItems containsBlank="1"/>
    </cacheField>
    <cacheField name="Hire Date" numFmtId="14">
      <sharedItems containsNonDate="0" containsDate="1" containsString="0" containsBlank="1" minDate="2015-01-04T00:00:00" maxDate="2023-12-13T00:00:00"/>
    </cacheField>
    <cacheField name="Year of Service" numFmtId="1">
      <sharedItems containsString="0" containsBlank="1" containsNumber="1" containsInteger="1" minValue="2" maxValue="11" count="11">
        <n v="8"/>
        <n v="4"/>
        <n v="10"/>
        <n v="3"/>
        <n v="6"/>
        <n v="2"/>
        <n v="5"/>
        <n v="9"/>
        <n v="7"/>
        <n v="11"/>
        <m/>
      </sharedItems>
    </cacheField>
    <cacheField name="Hire Date2" numFmtId="14">
      <sharedItems containsDate="1" containsBlank="1" containsMixedTypes="1" minDate="2015-01-04T00:00:00" maxDate="2023-12-13T00:00:00"/>
    </cacheField>
    <cacheField name="Salary" numFmtId="164">
      <sharedItems containsString="0" containsBlank="1" containsNumber="1" containsInteger="1" minValue="45196" maxValue="118947"/>
    </cacheField>
    <cacheField name="Performance Score" numFmtId="0">
      <sharedItems containsString="0" containsBlank="1" containsNumber="1" containsInteger="1" minValue="30" maxValue="99" count="59">
        <n v="52"/>
        <n v="70"/>
        <n v="54"/>
        <n v="40"/>
        <n v="49"/>
        <n v="45"/>
        <n v="79"/>
        <n v="58"/>
        <n v="62"/>
        <n v="48"/>
        <n v="77"/>
        <n v="42"/>
        <n v="93"/>
        <n v="75"/>
        <n v="50"/>
        <n v="88"/>
        <n v="64"/>
        <n v="32"/>
        <n v="59"/>
        <n v="90"/>
        <n v="66"/>
        <n v="68"/>
        <n v="80"/>
        <n v="72"/>
        <n v="78"/>
        <n v="30"/>
        <n v="98"/>
        <n v="71"/>
        <n v="55"/>
        <n v="76"/>
        <n v="84"/>
        <n v="53"/>
        <n v="63"/>
        <n v="96"/>
        <n v="95"/>
        <n v="33"/>
        <n v="91"/>
        <n v="46"/>
        <n v="99"/>
        <n v="87"/>
        <n v="36"/>
        <n v="97"/>
        <n v="65"/>
        <n v="67"/>
        <n v="34"/>
        <n v="61"/>
        <n v="74"/>
        <n v="94"/>
        <n v="81"/>
        <n v="57"/>
        <n v="69"/>
        <n v="51"/>
        <n v="82"/>
        <n v="83"/>
        <n v="38"/>
        <n v="35"/>
        <n v="92"/>
        <n v="73"/>
        <m/>
      </sharedItems>
    </cacheField>
    <cacheField name="Employment Status" numFmtId="0">
      <sharedItems containsBlank="1"/>
    </cacheField>
    <cacheField name="Employment Status3" numFmtId="0">
      <sharedItems containsBlank="1" count="3">
        <s v="Active"/>
        <s v="Left"/>
        <m/>
      </sharedItems>
    </cacheField>
    <cacheField name="Column4" numFmtId="0">
      <sharedItems containsString="0" containsBlank="1" containsNumber="1" containsInteger="1" minValue="70" maxValue="70"/>
    </cacheField>
    <cacheField name="Performance Band" numFmtId="0">
      <sharedItems containsBlank="1" count="6">
        <s v="Developing"/>
        <s v="Achieving"/>
        <s v="Needs Improvement"/>
        <s v="Exceeding"/>
        <s v="Outstanding"/>
        <m/>
      </sharedItems>
    </cacheField>
    <cacheField name="Bonus Percentage" numFmtId="9">
      <sharedItems containsString="0" containsBlank="1" containsNumber="1" minValue="0" maxValue="0.12"/>
    </cacheField>
    <cacheField name="Eligible Bonus Amount" numFmtId="0">
      <sharedItems containsString="0" containsBlank="1" containsNumber="1" minValue="0" maxValue="14273.64"/>
    </cacheField>
  </cacheFields>
  <extLst>
    <ext xmlns:x14="http://schemas.microsoft.com/office/spreadsheetml/2009/9/main" uri="{725AE2AE-9491-48be-B2B4-4EB974FC3084}">
      <x14:pivotCacheDefinition pivotCacheId="1477755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Emily"/>
    <s v="Brown"/>
    <x v="0"/>
    <x v="0"/>
    <s v="IT02"/>
    <s v="IT02"/>
    <d v="2017-12-24T00:00:00"/>
    <x v="0"/>
    <d v="2017-12-24T00:00:00"/>
    <n v="50361"/>
    <x v="0"/>
    <s v="active"/>
    <x v="0"/>
    <n v="70"/>
    <x v="0"/>
    <n v="0.02"/>
    <n v="1007.22"/>
  </r>
  <r>
    <x v="1"/>
    <s v="Richard"/>
    <s v="Hernandez"/>
    <x v="1"/>
    <x v="1"/>
    <s v="MKT04"/>
    <s v="MKT04"/>
    <d v="2022-04-08T00:00:00"/>
    <x v="1"/>
    <d v="2022-04-08T00:00:00"/>
    <n v="112673"/>
    <x v="1"/>
    <s v=" ACTIVE "/>
    <x v="0"/>
    <m/>
    <x v="1"/>
    <n v="0.05"/>
    <n v="5633.6500000000005"/>
  </r>
  <r>
    <x v="2"/>
    <s v="Emily"/>
    <s v="Gonzalez"/>
    <x v="2"/>
    <x v="0"/>
    <s v="IT02"/>
    <s v=" IT02 "/>
    <d v="2016-03-02T00:00:00"/>
    <x v="2"/>
    <d v="2016-03-02T00:00:00"/>
    <n v="114425"/>
    <x v="2"/>
    <s v=" LEFT "/>
    <x v="1"/>
    <m/>
    <x v="0"/>
    <n v="0.02"/>
    <n v="2288.5"/>
  </r>
  <r>
    <x v="3"/>
    <s v="John"/>
    <s v="Martinez"/>
    <x v="3"/>
    <x v="2"/>
    <s v="FIN03"/>
    <s v="FIN03"/>
    <d v="2023-07-03T00:00:00"/>
    <x v="3"/>
    <d v="2023-07-03T00:00:00"/>
    <n v="103831"/>
    <x v="1"/>
    <s v="active"/>
    <x v="0"/>
    <m/>
    <x v="1"/>
    <n v="0.05"/>
    <n v="5191.55"/>
  </r>
  <r>
    <x v="4"/>
    <s v="Thomas"/>
    <s v="Smith"/>
    <x v="4"/>
    <x v="0"/>
    <s v="IT02"/>
    <s v="IT02"/>
    <d v="2023-02-20T00:00:00"/>
    <x v="3"/>
    <d v="2023-02-20T00:00:00"/>
    <n v="73785"/>
    <x v="3"/>
    <s v="Left"/>
    <x v="1"/>
    <m/>
    <x v="2"/>
    <n v="0"/>
    <n v="0"/>
  </r>
  <r>
    <x v="5"/>
    <s v="Emily"/>
    <s v="Johnson"/>
    <x v="5"/>
    <x v="3"/>
    <s v="OPS06"/>
    <s v="OPS06"/>
    <d v="2020-03-02T00:00:00"/>
    <x v="4"/>
    <s v="02-Mar-20"/>
    <n v="115882"/>
    <x v="4"/>
    <s v=" ACTIVE "/>
    <x v="0"/>
    <m/>
    <x v="2"/>
    <n v="0"/>
    <n v="0"/>
  </r>
  <r>
    <x v="6"/>
    <s v="John"/>
    <s v="Wilson"/>
    <x v="6"/>
    <x v="3"/>
    <s v="OPS06"/>
    <s v=" OPS06 "/>
    <d v="2023-12-12T00:00:00"/>
    <x v="5"/>
    <d v="2023-12-12T00:00:00"/>
    <n v="59980"/>
    <x v="1"/>
    <s v="Left"/>
    <x v="1"/>
    <m/>
    <x v="1"/>
    <n v="0.05"/>
    <n v="2999"/>
  </r>
  <r>
    <x v="7"/>
    <s v="Jessica"/>
    <s v="Smith"/>
    <x v="7"/>
    <x v="3"/>
    <s v="OPS06"/>
    <s v=" OPS06 "/>
    <d v="2020-12-09T00:00:00"/>
    <x v="6"/>
    <d v="2020-12-09T00:00:00"/>
    <n v="68728"/>
    <x v="5"/>
    <s v=" ACTIVE "/>
    <x v="0"/>
    <m/>
    <x v="2"/>
    <n v="0"/>
    <n v="0"/>
  </r>
  <r>
    <x v="8"/>
    <m/>
    <s v="Rodriguez"/>
    <x v="8"/>
    <x v="2"/>
    <s v="FIN03"/>
    <s v="FIN03"/>
    <d v="2018-01-07T00:00:00"/>
    <x v="0"/>
    <d v="2018-01-07T00:00:00"/>
    <n v="102139"/>
    <x v="6"/>
    <s v="active"/>
    <x v="0"/>
    <m/>
    <x v="1"/>
    <n v="0.05"/>
    <n v="5106.9500000000007"/>
  </r>
  <r>
    <x v="9"/>
    <s v="Michael"/>
    <s v="Martinez"/>
    <x v="9"/>
    <x v="4"/>
    <s v="SAL05"/>
    <s v="SAL05"/>
    <d v="2016-11-02T00:00:00"/>
    <x v="7"/>
    <d v="2016-11-02T00:00:00"/>
    <n v="94998"/>
    <x v="7"/>
    <s v="active"/>
    <x v="0"/>
    <m/>
    <x v="0"/>
    <n v="0.02"/>
    <n v="1899.96"/>
  </r>
  <r>
    <x v="10"/>
    <s v="Emily"/>
    <s v="Miller"/>
    <x v="10"/>
    <x v="4"/>
    <s v="SAL05"/>
    <s v="SAL05"/>
    <d v="2020-03-21T00:00:00"/>
    <x v="4"/>
    <d v="2020-03-21T00:00:00"/>
    <n v="118635"/>
    <x v="4"/>
    <s v="active"/>
    <x v="0"/>
    <m/>
    <x v="2"/>
    <n v="0"/>
    <n v="0"/>
  </r>
  <r>
    <x v="11"/>
    <s v="Emily"/>
    <s v="Hernandez"/>
    <x v="11"/>
    <x v="0"/>
    <s v="IT02"/>
    <s v="IT02"/>
    <d v="2016-02-25T00:00:00"/>
    <x v="2"/>
    <d v="2016-02-25T00:00:00"/>
    <n v="76918"/>
    <x v="8"/>
    <s v="Actv"/>
    <x v="0"/>
    <m/>
    <x v="0"/>
    <n v="0.02"/>
    <n v="1538.3600000000001"/>
  </r>
  <r>
    <x v="12"/>
    <s v="Jane"/>
    <s v="Williams"/>
    <x v="12"/>
    <x v="1"/>
    <s v="MKT04"/>
    <s v="MKT04"/>
    <d v="2021-06-17T00:00:00"/>
    <x v="6"/>
    <s v="17-Jun-21"/>
    <n v="61408"/>
    <x v="9"/>
    <s v=" ACTIVE "/>
    <x v="0"/>
    <m/>
    <x v="2"/>
    <n v="0"/>
    <n v="0"/>
  </r>
  <r>
    <x v="13"/>
    <s v="Jane"/>
    <s v="Miller"/>
    <x v="13"/>
    <x v="1"/>
    <s v="MKT04"/>
    <s v="MKT04"/>
    <d v="2020-06-19T00:00:00"/>
    <x v="4"/>
    <d v="2020-06-19T00:00:00"/>
    <n v="99990"/>
    <x v="2"/>
    <s v="Actv"/>
    <x v="0"/>
    <m/>
    <x v="0"/>
    <n v="0.02"/>
    <n v="1999.8"/>
  </r>
  <r>
    <x v="14"/>
    <s v="Robert"/>
    <s v="Jones"/>
    <x v="14"/>
    <x v="1"/>
    <s v="MKT04"/>
    <s v=" MKT04 "/>
    <d v="2019-12-21T00:00:00"/>
    <x v="4"/>
    <d v="2019-12-21T00:00:00"/>
    <n v="80385"/>
    <x v="1"/>
    <s v="active"/>
    <x v="0"/>
    <m/>
    <x v="1"/>
    <n v="0.05"/>
    <n v="4019.25"/>
  </r>
  <r>
    <x v="15"/>
    <s v="Thomas"/>
    <s v="Rodriguez"/>
    <x v="15"/>
    <x v="4"/>
    <s v="SAL05"/>
    <s v="SAL05"/>
    <d v="2023-08-31T00:00:00"/>
    <x v="5"/>
    <d v="2023-08-31T00:00:00"/>
    <n v="65290"/>
    <x v="10"/>
    <s v="active"/>
    <x v="0"/>
    <m/>
    <x v="1"/>
    <n v="0.05"/>
    <n v="3264.5"/>
  </r>
  <r>
    <x v="16"/>
    <s v="Emily"/>
    <s v="Davis"/>
    <x v="16"/>
    <x v="0"/>
    <s v="IT02"/>
    <s v="IT02"/>
    <d v="2015-11-29T00:00:00"/>
    <x v="2"/>
    <d v="2015-11-29T00:00:00"/>
    <n v="105765"/>
    <x v="11"/>
    <s v="active"/>
    <x v="0"/>
    <m/>
    <x v="2"/>
    <n v="0"/>
    <n v="0"/>
  </r>
  <r>
    <x v="17"/>
    <s v="James"/>
    <s v="Martinez"/>
    <x v="17"/>
    <x v="4"/>
    <s v="SAL05"/>
    <s v="SAL05"/>
    <d v="2017-06-13T00:00:00"/>
    <x v="7"/>
    <d v="2017-06-13T00:00:00"/>
    <n v="102921"/>
    <x v="4"/>
    <s v=" ACTIVE "/>
    <x v="0"/>
    <m/>
    <x v="2"/>
    <n v="0"/>
    <n v="0"/>
  </r>
  <r>
    <x v="18"/>
    <s v="Ashley"/>
    <s v="Lopez"/>
    <x v="18"/>
    <x v="1"/>
    <s v="MKT04"/>
    <s v="MKT04"/>
    <d v="2018-05-15T00:00:00"/>
    <x v="0"/>
    <d v="2018-05-15T00:00:00"/>
    <n v="73984"/>
    <x v="12"/>
    <s v="Actv"/>
    <x v="0"/>
    <m/>
    <x v="3"/>
    <n v="0.08"/>
    <n v="5918.72"/>
  </r>
  <r>
    <x v="19"/>
    <s v="Amanda"/>
    <s v="Gonzalez"/>
    <x v="19"/>
    <x v="0"/>
    <s v="IT02"/>
    <s v="IT02"/>
    <d v="2016-07-24T00:00:00"/>
    <x v="7"/>
    <d v="2016-07-24T00:00:00"/>
    <n v="83604"/>
    <x v="13"/>
    <s v="Actv"/>
    <x v="0"/>
    <m/>
    <x v="1"/>
    <n v="0.05"/>
    <n v="4180.2"/>
  </r>
  <r>
    <x v="20"/>
    <s v="Michael"/>
    <s v="Hernandez"/>
    <x v="20"/>
    <x v="2"/>
    <s v="FIN03"/>
    <s v="FIN03"/>
    <d v="2017-12-07T00:00:00"/>
    <x v="0"/>
    <d v="2017-12-07T00:00:00"/>
    <n v="118527"/>
    <x v="14"/>
    <s v="Actv"/>
    <x v="0"/>
    <m/>
    <x v="0"/>
    <n v="0.02"/>
    <n v="2370.54"/>
  </r>
  <r>
    <x v="21"/>
    <s v="Richard"/>
    <s v="Hernandez"/>
    <x v="1"/>
    <x v="1"/>
    <s v="MKT04"/>
    <s v="MKT04"/>
    <d v="2021-06-06T00:00:00"/>
    <x v="6"/>
    <d v="2021-06-06T00:00:00"/>
    <n v="107871"/>
    <x v="15"/>
    <s v="active"/>
    <x v="0"/>
    <m/>
    <x v="3"/>
    <n v="0.08"/>
    <n v="8629.68"/>
  </r>
  <r>
    <x v="22"/>
    <s v="Michael"/>
    <s v="Rodriguez"/>
    <x v="21"/>
    <x v="0"/>
    <s v="IT02"/>
    <s v=" IT02 "/>
    <d v="2022-09-11T00:00:00"/>
    <x v="3"/>
    <d v="2022-09-11T00:00:00"/>
    <n v="93956"/>
    <x v="14"/>
    <s v=" LEFT "/>
    <x v="1"/>
    <m/>
    <x v="0"/>
    <n v="0.02"/>
    <n v="1879.1200000000001"/>
  </r>
  <r>
    <x v="23"/>
    <s v="Jessica"/>
    <s v="Johnson"/>
    <x v="22"/>
    <x v="2"/>
    <s v="FIN03"/>
    <s v=" FIN03 "/>
    <d v="2016-07-14T00:00:00"/>
    <x v="7"/>
    <d v="2016-07-14T00:00:00"/>
    <n v="100851"/>
    <x v="16"/>
    <s v=" ACTIVE "/>
    <x v="0"/>
    <m/>
    <x v="0"/>
    <n v="0.02"/>
    <n v="2017.02"/>
  </r>
  <r>
    <x v="24"/>
    <s v="Ashley"/>
    <s v="Williams"/>
    <x v="23"/>
    <x v="4"/>
    <s v="SAL05"/>
    <s v="SAL05"/>
    <d v="2022-06-16T00:00:00"/>
    <x v="1"/>
    <d v="2022-06-16T00:00:00"/>
    <n v="68655"/>
    <x v="17"/>
    <s v="active"/>
    <x v="0"/>
    <m/>
    <x v="2"/>
    <n v="0"/>
    <n v="0"/>
  </r>
  <r>
    <x v="25"/>
    <m/>
    <s v="Williams"/>
    <x v="24"/>
    <x v="4"/>
    <s v="SAL05"/>
    <s v=" SAL05 "/>
    <d v="2023-07-27T00:00:00"/>
    <x v="5"/>
    <d v="2023-07-27T00:00:00"/>
    <n v="81205"/>
    <x v="18"/>
    <s v="Actv"/>
    <x v="0"/>
    <m/>
    <x v="0"/>
    <n v="0.02"/>
    <n v="1624.1000000000001"/>
  </r>
  <r>
    <x v="26"/>
    <s v="John"/>
    <s v="Wilson"/>
    <x v="6"/>
    <x v="4"/>
    <s v="SAL05"/>
    <s v="SAL05"/>
    <d v="2019-09-24T00:00:00"/>
    <x v="4"/>
    <s v="09/24/2019"/>
    <n v="77610"/>
    <x v="15"/>
    <s v="Actv"/>
    <x v="0"/>
    <m/>
    <x v="3"/>
    <n v="0.08"/>
    <n v="6208.8"/>
  </r>
  <r>
    <x v="27"/>
    <s v="Thomas"/>
    <s v="Rodriguez"/>
    <x v="15"/>
    <x v="0"/>
    <s v="IT02"/>
    <s v="IT02"/>
    <d v="2022-07-23T00:00:00"/>
    <x v="3"/>
    <d v="2022-07-23T00:00:00"/>
    <n v="50873"/>
    <x v="19"/>
    <s v="active"/>
    <x v="0"/>
    <m/>
    <x v="3"/>
    <n v="0.08"/>
    <n v="4069.84"/>
  </r>
  <r>
    <x v="28"/>
    <s v="Michael"/>
    <s v="Wilson"/>
    <x v="25"/>
    <x v="2"/>
    <s v="FIN03"/>
    <s v="FIN03"/>
    <d v="2018-05-13T00:00:00"/>
    <x v="0"/>
    <s v="13-May-18"/>
    <n v="85312"/>
    <x v="20"/>
    <s v="active"/>
    <x v="0"/>
    <m/>
    <x v="0"/>
    <n v="0.02"/>
    <n v="1706.24"/>
  </r>
  <r>
    <x v="29"/>
    <s v="John"/>
    <s v="Rodriguez"/>
    <x v="26"/>
    <x v="4"/>
    <s v="SAL05"/>
    <s v="SAL05"/>
    <d v="2015-07-17T00:00:00"/>
    <x v="2"/>
    <d v="2015-07-17T00:00:00"/>
    <n v="83604"/>
    <x v="21"/>
    <s v="active"/>
    <x v="0"/>
    <m/>
    <x v="0"/>
    <n v="0.02"/>
    <n v="1672.08"/>
  </r>
  <r>
    <x v="30"/>
    <s v="Thomas"/>
    <s v="Hernandez"/>
    <x v="27"/>
    <x v="3"/>
    <s v="OPS06"/>
    <s v="OPS06"/>
    <d v="2015-08-05T00:00:00"/>
    <x v="2"/>
    <s v="05-Aug-15"/>
    <n v="97055"/>
    <x v="22"/>
    <s v="Actv"/>
    <x v="0"/>
    <m/>
    <x v="1"/>
    <n v="0.05"/>
    <n v="4852.75"/>
  </r>
  <r>
    <x v="31"/>
    <s v="Michael"/>
    <s v="Johnson"/>
    <x v="28"/>
    <x v="0"/>
    <s v="IT02"/>
    <s v="IT02"/>
    <d v="2023-09-26T00:00:00"/>
    <x v="5"/>
    <d v="2023-09-26T00:00:00"/>
    <n v="66069"/>
    <x v="23"/>
    <s v="Actv"/>
    <x v="0"/>
    <m/>
    <x v="1"/>
    <n v="0.05"/>
    <n v="3303.4500000000003"/>
  </r>
  <r>
    <x v="32"/>
    <s v="Sarah"/>
    <s v="Brown"/>
    <x v="29"/>
    <x v="0"/>
    <s v="IT02"/>
    <s v="IT02"/>
    <d v="2019-06-10T00:00:00"/>
    <x v="8"/>
    <s v="10-Jun-19"/>
    <n v="90157"/>
    <x v="7"/>
    <s v="active"/>
    <x v="0"/>
    <m/>
    <x v="0"/>
    <n v="0.02"/>
    <n v="1803.14"/>
  </r>
  <r>
    <x v="33"/>
    <s v="Jane"/>
    <s v="Martinez"/>
    <x v="30"/>
    <x v="5"/>
    <s v="HR01"/>
    <s v="HR01"/>
    <d v="2022-01-17T00:00:00"/>
    <x v="1"/>
    <d v="2022-01-17T00:00:00"/>
    <n v="59899"/>
    <x v="24"/>
    <s v="Actv"/>
    <x v="0"/>
    <m/>
    <x v="1"/>
    <n v="0.05"/>
    <n v="2994.9500000000003"/>
  </r>
  <r>
    <x v="34"/>
    <s v="Emily"/>
    <s v="Jones"/>
    <x v="31"/>
    <x v="2"/>
    <s v="FIN03"/>
    <s v=" FIN03 "/>
    <d v="2017-07-03T00:00:00"/>
    <x v="7"/>
    <s v="03-Jul-17"/>
    <n v="113389"/>
    <x v="25"/>
    <s v=" ACTIVE "/>
    <x v="0"/>
    <m/>
    <x v="2"/>
    <n v="0"/>
    <n v="0"/>
  </r>
  <r>
    <x v="35"/>
    <m/>
    <s v="Brown"/>
    <x v="32"/>
    <x v="0"/>
    <s v="IT02"/>
    <s v=" IT02 "/>
    <d v="2015-09-01T00:00:00"/>
    <x v="2"/>
    <s v="01-Sep-15"/>
    <n v="102691"/>
    <x v="0"/>
    <s v="active"/>
    <x v="0"/>
    <m/>
    <x v="0"/>
    <n v="0.02"/>
    <n v="2053.8200000000002"/>
  </r>
  <r>
    <x v="36"/>
    <s v="John"/>
    <s v="Wilson"/>
    <x v="6"/>
    <x v="3"/>
    <s v="OPS06"/>
    <s v="OPS06"/>
    <d v="2022-08-03T00:00:00"/>
    <x v="3"/>
    <s v="03-Aug-22"/>
    <n v="111845"/>
    <x v="26"/>
    <s v="active"/>
    <x v="0"/>
    <m/>
    <x v="4"/>
    <n v="0.12"/>
    <n v="13421.4"/>
  </r>
  <r>
    <x v="37"/>
    <s v="Melissa"/>
    <s v="Brown"/>
    <x v="33"/>
    <x v="4"/>
    <s v="SAL05"/>
    <s v=" SAL05 "/>
    <d v="2022-06-29T00:00:00"/>
    <x v="1"/>
    <s v="06/29/2022"/>
    <n v="69219"/>
    <x v="12"/>
    <s v="Actv"/>
    <x v="0"/>
    <m/>
    <x v="3"/>
    <n v="0.08"/>
    <n v="5537.52"/>
  </r>
  <r>
    <x v="38"/>
    <s v="Michael"/>
    <s v="Smith"/>
    <x v="34"/>
    <x v="2"/>
    <s v="FIN03"/>
    <s v="FIN03"/>
    <d v="2020-04-28T00:00:00"/>
    <x v="4"/>
    <d v="2020-04-28T00:00:00"/>
    <n v="83604"/>
    <x v="22"/>
    <s v="Left"/>
    <x v="1"/>
    <m/>
    <x v="1"/>
    <n v="0.05"/>
    <n v="4180.2"/>
  </r>
  <r>
    <x v="39"/>
    <s v="Sarah"/>
    <s v="Miller"/>
    <x v="35"/>
    <x v="3"/>
    <s v="OPS06"/>
    <s v="OPS06"/>
    <d v="2017-09-09T00:00:00"/>
    <x v="0"/>
    <s v="09/09/2017"/>
    <n v="57514"/>
    <x v="1"/>
    <s v="active"/>
    <x v="0"/>
    <m/>
    <x v="1"/>
    <n v="0.05"/>
    <n v="2875.7000000000003"/>
  </r>
  <r>
    <x v="40"/>
    <s v="Emily"/>
    <s v="Wilson"/>
    <x v="36"/>
    <x v="4"/>
    <s v="SAL05"/>
    <s v="SAL05"/>
    <d v="2018-03-22T00:00:00"/>
    <x v="0"/>
    <d v="2018-03-22T00:00:00"/>
    <n v="86245"/>
    <x v="27"/>
    <s v=" LEFT "/>
    <x v="1"/>
    <m/>
    <x v="1"/>
    <n v="0.05"/>
    <n v="4312.25"/>
  </r>
  <r>
    <x v="41"/>
    <s v="David"/>
    <s v="Hernandez"/>
    <x v="37"/>
    <x v="4"/>
    <s v="SAL05"/>
    <s v="SAL05"/>
    <d v="2020-05-07T00:00:00"/>
    <x v="4"/>
    <d v="2020-05-07T00:00:00"/>
    <n v="52407"/>
    <x v="28"/>
    <s v="active"/>
    <x v="0"/>
    <m/>
    <x v="0"/>
    <n v="0.02"/>
    <n v="1048.1400000000001"/>
  </r>
  <r>
    <x v="42"/>
    <s v="James"/>
    <s v="Smith"/>
    <x v="38"/>
    <x v="3"/>
    <s v="OPS06"/>
    <s v=" OPS06 "/>
    <d v="2019-03-25T00:00:00"/>
    <x v="8"/>
    <d v="2019-03-25T00:00:00"/>
    <n v="66606"/>
    <x v="12"/>
    <s v="Resigned"/>
    <x v="1"/>
    <m/>
    <x v="3"/>
    <n v="0.08"/>
    <n v="5328.4800000000005"/>
  </r>
  <r>
    <x v="43"/>
    <s v="Sarah"/>
    <s v="Williams"/>
    <x v="39"/>
    <x v="0"/>
    <s v="IT02"/>
    <s v="IT02"/>
    <d v="2019-08-09T00:00:00"/>
    <x v="4"/>
    <d v="2019-08-09T00:00:00"/>
    <n v="81896"/>
    <x v="6"/>
    <s v="Resigned"/>
    <x v="1"/>
    <m/>
    <x v="1"/>
    <n v="0.05"/>
    <n v="4094.8"/>
  </r>
  <r>
    <x v="44"/>
    <s v="Amanda"/>
    <s v="Lopez"/>
    <x v="40"/>
    <x v="4"/>
    <s v="SAL05"/>
    <s v="SAL05"/>
    <d v="2016-07-14T00:00:00"/>
    <x v="7"/>
    <s v="07/14/2016"/>
    <n v="78402"/>
    <x v="2"/>
    <s v=" ACTIVE "/>
    <x v="0"/>
    <m/>
    <x v="0"/>
    <n v="0.02"/>
    <n v="1568.04"/>
  </r>
  <r>
    <x v="45"/>
    <s v="Thomas"/>
    <s v="Lopez"/>
    <x v="41"/>
    <x v="3"/>
    <s v="OPS06"/>
    <s v=" OPS06 "/>
    <d v="2016-10-04T00:00:00"/>
    <x v="7"/>
    <d v="2016-10-04T00:00:00"/>
    <n v="105498"/>
    <x v="29"/>
    <s v="active"/>
    <x v="0"/>
    <m/>
    <x v="1"/>
    <n v="0.05"/>
    <n v="5274.9000000000005"/>
  </r>
  <r>
    <x v="46"/>
    <s v="Melissa"/>
    <s v="Johnson"/>
    <x v="42"/>
    <x v="1"/>
    <s v="MKT04"/>
    <s v="MKT04"/>
    <d v="2019-07-10T00:00:00"/>
    <x v="4"/>
    <s v="10-Jul-19"/>
    <n v="91749"/>
    <x v="23"/>
    <s v="Left"/>
    <x v="1"/>
    <m/>
    <x v="1"/>
    <n v="0.05"/>
    <n v="4587.45"/>
  </r>
  <r>
    <x v="47"/>
    <s v="Amanda"/>
    <s v="Johnson"/>
    <x v="43"/>
    <x v="3"/>
    <s v="OPS06"/>
    <s v=" OPS06 "/>
    <d v="2021-08-29T00:00:00"/>
    <x v="1"/>
    <d v="2021-08-29T00:00:00"/>
    <n v="99935"/>
    <x v="30"/>
    <s v="Resigned"/>
    <x v="1"/>
    <m/>
    <x v="1"/>
    <n v="0.05"/>
    <n v="4996.75"/>
  </r>
  <r>
    <x v="48"/>
    <s v="John"/>
    <s v="Davis"/>
    <x v="44"/>
    <x v="0"/>
    <s v="IT02"/>
    <s v=" IT02 "/>
    <d v="2017-01-26T00:00:00"/>
    <x v="7"/>
    <d v="2017-01-26T00:00:00"/>
    <n v="83531"/>
    <x v="25"/>
    <s v="Left"/>
    <x v="1"/>
    <m/>
    <x v="2"/>
    <n v="0"/>
    <n v="0"/>
  </r>
  <r>
    <x v="49"/>
    <s v="James"/>
    <s v="Johnson"/>
    <x v="45"/>
    <x v="1"/>
    <s v="MKT04"/>
    <s v="MKT04"/>
    <d v="2020-05-30T00:00:00"/>
    <x v="4"/>
    <d v="2020-05-30T00:00:00"/>
    <n v="75023"/>
    <x v="1"/>
    <s v=" ACTIVE "/>
    <x v="0"/>
    <m/>
    <x v="1"/>
    <n v="0.05"/>
    <n v="3751.15"/>
  </r>
  <r>
    <x v="50"/>
    <s v="Jane"/>
    <s v="Davis"/>
    <x v="46"/>
    <x v="5"/>
    <s v="HR01"/>
    <s v="HR01"/>
    <d v="2022-02-20T00:00:00"/>
    <x v="1"/>
    <d v="2022-02-20T00:00:00"/>
    <n v="93290"/>
    <x v="31"/>
    <s v=" ACTIVE "/>
    <x v="0"/>
    <m/>
    <x v="0"/>
    <n v="0.02"/>
    <n v="1865.8"/>
  </r>
  <r>
    <x v="51"/>
    <s v="Richard"/>
    <s v="Davis"/>
    <x v="47"/>
    <x v="3"/>
    <s v="OPS06"/>
    <s v="OPS06"/>
    <d v="2016-09-15T00:00:00"/>
    <x v="7"/>
    <d v="2016-09-15T00:00:00"/>
    <n v="115527"/>
    <x v="32"/>
    <s v="Resigned"/>
    <x v="1"/>
    <m/>
    <x v="0"/>
    <n v="0.02"/>
    <n v="2310.54"/>
  </r>
  <r>
    <x v="52"/>
    <s v="Thomas"/>
    <s v="Rodriguez"/>
    <x v="15"/>
    <x v="2"/>
    <s v="FIN03"/>
    <s v=" FIN03 "/>
    <d v="2019-10-07T00:00:00"/>
    <x v="4"/>
    <s v="10/07/2019"/>
    <n v="55920"/>
    <x v="30"/>
    <s v="Actv"/>
    <x v="0"/>
    <m/>
    <x v="1"/>
    <n v="0.05"/>
    <n v="2796"/>
  </r>
  <r>
    <x v="53"/>
    <s v="Emily"/>
    <s v="Johnson"/>
    <x v="5"/>
    <x v="4"/>
    <s v="SAL05"/>
    <s v="SAL05"/>
    <d v="2018-12-30T00:00:00"/>
    <x v="8"/>
    <d v="2018-12-30T00:00:00"/>
    <n v="80189"/>
    <x v="25"/>
    <s v="active"/>
    <x v="0"/>
    <m/>
    <x v="2"/>
    <n v="0"/>
    <n v="0"/>
  </r>
  <r>
    <x v="54"/>
    <s v="Emily"/>
    <s v="Garcia"/>
    <x v="48"/>
    <x v="5"/>
    <s v="HR01"/>
    <s v="HR01"/>
    <d v="2020-12-24T00:00:00"/>
    <x v="6"/>
    <d v="2020-12-24T00:00:00"/>
    <n v="118947"/>
    <x v="33"/>
    <s v="active"/>
    <x v="0"/>
    <m/>
    <x v="4"/>
    <n v="0.12"/>
    <n v="14273.64"/>
  </r>
  <r>
    <x v="55"/>
    <s v="Jane"/>
    <s v="Anderson"/>
    <x v="49"/>
    <x v="0"/>
    <s v="IT02"/>
    <s v="IT02"/>
    <d v="2023-07-05T00:00:00"/>
    <x v="5"/>
    <d v="2023-07-05T00:00:00"/>
    <n v="83604"/>
    <x v="2"/>
    <s v="Actv"/>
    <x v="0"/>
    <m/>
    <x v="0"/>
    <n v="0.02"/>
    <n v="1672.08"/>
  </r>
  <r>
    <x v="56"/>
    <s v="Thomas"/>
    <s v="Garcia"/>
    <x v="50"/>
    <x v="3"/>
    <s v="OPS06"/>
    <s v=" OPS06 "/>
    <d v="2020-11-13T00:00:00"/>
    <x v="6"/>
    <d v="2020-11-13T00:00:00"/>
    <n v="83604"/>
    <x v="13"/>
    <s v="Actv"/>
    <x v="0"/>
    <m/>
    <x v="1"/>
    <n v="0.05"/>
    <n v="4180.2"/>
  </r>
  <r>
    <x v="57"/>
    <s v="David"/>
    <s v="Martinez"/>
    <x v="51"/>
    <x v="5"/>
    <s v="HR01"/>
    <s v="HR01"/>
    <d v="2018-02-07T00:00:00"/>
    <x v="0"/>
    <s v="02/07/2018"/>
    <n v="91655"/>
    <x v="34"/>
    <s v="active"/>
    <x v="0"/>
    <m/>
    <x v="4"/>
    <n v="0.12"/>
    <n v="10998.6"/>
  </r>
  <r>
    <x v="58"/>
    <s v="Emily"/>
    <s v="Brown"/>
    <x v="0"/>
    <x v="0"/>
    <s v="IT02"/>
    <s v="IT02"/>
    <d v="2023-11-25T00:00:00"/>
    <x v="5"/>
    <d v="2023-11-25T00:00:00"/>
    <n v="49435"/>
    <x v="1"/>
    <s v="Left"/>
    <x v="1"/>
    <m/>
    <x v="1"/>
    <n v="0.05"/>
    <n v="2471.75"/>
  </r>
  <r>
    <x v="59"/>
    <s v="Emily"/>
    <s v="Wilson"/>
    <x v="36"/>
    <x v="4"/>
    <s v="SAL05"/>
    <s v="SAL05"/>
    <d v="2023-10-18T00:00:00"/>
    <x v="5"/>
    <d v="2023-10-18T00:00:00"/>
    <n v="110381"/>
    <x v="12"/>
    <s v="active"/>
    <x v="0"/>
    <m/>
    <x v="3"/>
    <n v="0.08"/>
    <n v="8830.48"/>
  </r>
  <r>
    <x v="60"/>
    <s v="Michael"/>
    <s v="Anderson"/>
    <x v="52"/>
    <x v="5"/>
    <s v="HR01"/>
    <s v="HR01"/>
    <d v="2020-09-05T00:00:00"/>
    <x v="6"/>
    <d v="2020-09-05T00:00:00"/>
    <n v="114748"/>
    <x v="35"/>
    <s v="active"/>
    <x v="0"/>
    <m/>
    <x v="2"/>
    <n v="0"/>
    <n v="0"/>
  </r>
  <r>
    <x v="61"/>
    <s v="Robert"/>
    <s v="Johnson"/>
    <x v="53"/>
    <x v="3"/>
    <s v="OPS06"/>
    <s v="OPS06"/>
    <d v="2017-03-06T00:00:00"/>
    <x v="7"/>
    <d v="2017-03-06T00:00:00"/>
    <n v="63302"/>
    <x v="36"/>
    <s v="active"/>
    <x v="0"/>
    <m/>
    <x v="3"/>
    <n v="0.08"/>
    <n v="5064.16"/>
  </r>
  <r>
    <x v="62"/>
    <s v="Robert"/>
    <s v="Miller"/>
    <x v="54"/>
    <x v="0"/>
    <s v="IT02"/>
    <s v="IT02"/>
    <d v="2015-04-28T00:00:00"/>
    <x v="9"/>
    <d v="2015-04-28T00:00:00"/>
    <n v="75519"/>
    <x v="16"/>
    <s v="active"/>
    <x v="0"/>
    <m/>
    <x v="0"/>
    <n v="0.02"/>
    <n v="1510.38"/>
  </r>
  <r>
    <x v="63"/>
    <s v="Jane"/>
    <s v="Davis"/>
    <x v="46"/>
    <x v="2"/>
    <s v="FIN03"/>
    <s v=" FIN03 "/>
    <d v="2017-04-13T00:00:00"/>
    <x v="7"/>
    <d v="2017-04-13T00:00:00"/>
    <n v="103891"/>
    <x v="22"/>
    <s v="active"/>
    <x v="0"/>
    <m/>
    <x v="1"/>
    <n v="0.05"/>
    <n v="5194.55"/>
  </r>
  <r>
    <x v="64"/>
    <s v="Thomas"/>
    <s v="Davis"/>
    <x v="55"/>
    <x v="3"/>
    <s v="OPS06"/>
    <s v="OPS06"/>
    <d v="2022-09-23T00:00:00"/>
    <x v="3"/>
    <d v="2022-09-23T00:00:00"/>
    <n v="83604"/>
    <x v="37"/>
    <s v=" LEFT "/>
    <x v="1"/>
    <m/>
    <x v="2"/>
    <n v="0"/>
    <n v="0"/>
  </r>
  <r>
    <x v="65"/>
    <s v="Thomas"/>
    <s v="Jones"/>
    <x v="56"/>
    <x v="1"/>
    <s v="MKT04"/>
    <s v=" MKT04 "/>
    <d v="2016-11-11T00:00:00"/>
    <x v="7"/>
    <s v="11/11/2016"/>
    <n v="50936"/>
    <x v="38"/>
    <s v="active"/>
    <x v="0"/>
    <m/>
    <x v="4"/>
    <n v="0.12"/>
    <n v="6112.32"/>
  </r>
  <r>
    <x v="66"/>
    <s v="Michael"/>
    <s v="Miller"/>
    <x v="57"/>
    <x v="4"/>
    <s v="SAL05"/>
    <s v=" SAL05 "/>
    <d v="2017-03-24T00:00:00"/>
    <x v="7"/>
    <s v="24-Mar-17"/>
    <n v="111240"/>
    <x v="1"/>
    <s v="Actv"/>
    <x v="0"/>
    <m/>
    <x v="1"/>
    <n v="0.05"/>
    <n v="5562"/>
  </r>
  <r>
    <x v="67"/>
    <s v="Richard"/>
    <s v="Gonzalez"/>
    <x v="58"/>
    <x v="5"/>
    <s v="HR01"/>
    <s v="HR01"/>
    <d v="2019-05-05T00:00:00"/>
    <x v="8"/>
    <s v="05-May-19"/>
    <n v="51567"/>
    <x v="39"/>
    <s v="Resigned"/>
    <x v="1"/>
    <m/>
    <x v="3"/>
    <n v="0.08"/>
    <n v="4125.3599999999997"/>
  </r>
  <r>
    <x v="68"/>
    <s v="Melissa"/>
    <s v="Williams"/>
    <x v="59"/>
    <x v="5"/>
    <s v="HR01"/>
    <s v=" HR01 "/>
    <d v="2021-07-25T00:00:00"/>
    <x v="1"/>
    <d v="2021-07-25T00:00:00"/>
    <n v="83604"/>
    <x v="40"/>
    <s v="active"/>
    <x v="0"/>
    <m/>
    <x v="2"/>
    <n v="0"/>
    <n v="0"/>
  </r>
  <r>
    <x v="69"/>
    <s v="Robert"/>
    <s v="Miller"/>
    <x v="54"/>
    <x v="5"/>
    <s v="HR01"/>
    <s v="HR01"/>
    <d v="2017-09-30T00:00:00"/>
    <x v="0"/>
    <d v="2017-09-30T00:00:00"/>
    <n v="55270"/>
    <x v="39"/>
    <s v="Actv"/>
    <x v="0"/>
    <m/>
    <x v="3"/>
    <n v="0.08"/>
    <n v="4421.6000000000004"/>
  </r>
  <r>
    <x v="70"/>
    <s v="William"/>
    <s v="Garcia"/>
    <x v="60"/>
    <x v="4"/>
    <s v="SAL05"/>
    <s v="SAL05"/>
    <d v="2015-07-07T00:00:00"/>
    <x v="2"/>
    <d v="2015-07-07T00:00:00"/>
    <n v="65235"/>
    <x v="41"/>
    <s v=" ACTIVE "/>
    <x v="0"/>
    <m/>
    <x v="4"/>
    <n v="0.12"/>
    <n v="7828.2"/>
  </r>
  <r>
    <x v="71"/>
    <s v="John"/>
    <s v="Gonzalez"/>
    <x v="61"/>
    <x v="4"/>
    <s v="SAL05"/>
    <s v="SAL05"/>
    <d v="2018-07-02T00:00:00"/>
    <x v="0"/>
    <d v="2018-07-02T00:00:00"/>
    <n v="83604"/>
    <x v="23"/>
    <s v=" LEFT "/>
    <x v="1"/>
    <m/>
    <x v="1"/>
    <n v="0.05"/>
    <n v="4180.2"/>
  </r>
  <r>
    <x v="72"/>
    <s v="James"/>
    <s v="Gonzalez"/>
    <x v="62"/>
    <x v="4"/>
    <s v="SAL05"/>
    <s v="SAL05"/>
    <d v="2022-09-15T00:00:00"/>
    <x v="3"/>
    <d v="2022-09-15T00:00:00"/>
    <n v="83604"/>
    <x v="42"/>
    <s v=" LEFT "/>
    <x v="1"/>
    <m/>
    <x v="0"/>
    <n v="0.02"/>
    <n v="1672.08"/>
  </r>
  <r>
    <x v="73"/>
    <s v="Jane"/>
    <s v="Gonzalez"/>
    <x v="63"/>
    <x v="4"/>
    <s v="SAL05"/>
    <s v=" SAL05 "/>
    <d v="2015-09-02T00:00:00"/>
    <x v="2"/>
    <d v="2015-09-02T00:00:00"/>
    <n v="83604"/>
    <x v="43"/>
    <s v="Actv"/>
    <x v="0"/>
    <m/>
    <x v="0"/>
    <n v="0.02"/>
    <n v="1672.08"/>
  </r>
  <r>
    <x v="74"/>
    <s v="David"/>
    <s v="Wilson"/>
    <x v="64"/>
    <x v="3"/>
    <s v="OPS06"/>
    <s v="OPS06"/>
    <d v="2016-10-11T00:00:00"/>
    <x v="7"/>
    <s v="11-Oct-16"/>
    <n v="48823"/>
    <x v="44"/>
    <s v=" ACTIVE "/>
    <x v="0"/>
    <m/>
    <x v="2"/>
    <n v="0"/>
    <n v="0"/>
  </r>
  <r>
    <x v="75"/>
    <s v="Jane"/>
    <s v="Gonzalez"/>
    <x v="63"/>
    <x v="2"/>
    <s v="FIN03"/>
    <s v=" FIN03 "/>
    <d v="2019-04-20T00:00:00"/>
    <x v="8"/>
    <d v="2019-04-20T00:00:00"/>
    <n v="45196"/>
    <x v="24"/>
    <s v=" LEFT "/>
    <x v="1"/>
    <m/>
    <x v="1"/>
    <n v="0.05"/>
    <n v="2259.8000000000002"/>
  </r>
  <r>
    <x v="76"/>
    <s v="Jane"/>
    <s v="Rodriguez"/>
    <x v="65"/>
    <x v="0"/>
    <s v="IT02"/>
    <s v="IT02"/>
    <d v="2017-02-19T00:00:00"/>
    <x v="7"/>
    <s v="02/19/2017"/>
    <n v="86246"/>
    <x v="45"/>
    <s v="Actv"/>
    <x v="0"/>
    <m/>
    <x v="0"/>
    <n v="0.02"/>
    <n v="1724.92"/>
  </r>
  <r>
    <x v="77"/>
    <s v="Emily"/>
    <s v="Miller"/>
    <x v="10"/>
    <x v="4"/>
    <s v="SAL05"/>
    <s v="SAL05"/>
    <d v="2021-09-07T00:00:00"/>
    <x v="1"/>
    <s v="09/07/2021"/>
    <n v="70359"/>
    <x v="46"/>
    <s v="Left"/>
    <x v="1"/>
    <m/>
    <x v="1"/>
    <n v="0.05"/>
    <n v="3517.9500000000003"/>
  </r>
  <r>
    <x v="78"/>
    <s v="Sarah"/>
    <s v="Miller"/>
    <x v="35"/>
    <x v="1"/>
    <s v="MKT04"/>
    <s v=" MKT04 "/>
    <d v="2019-05-14T00:00:00"/>
    <x v="8"/>
    <d v="2019-05-14T00:00:00"/>
    <n v="83604"/>
    <x v="47"/>
    <s v=" ACTIVE "/>
    <x v="0"/>
    <m/>
    <x v="3"/>
    <n v="0.08"/>
    <n v="6688.32"/>
  </r>
  <r>
    <x v="79"/>
    <s v="Jessica"/>
    <s v="Garcia"/>
    <x v="66"/>
    <x v="3"/>
    <s v="OPS06"/>
    <s v=" OPS06 "/>
    <d v="2015-11-22T00:00:00"/>
    <x v="2"/>
    <d v="2015-11-22T00:00:00"/>
    <n v="86480"/>
    <x v="1"/>
    <s v=" ACTIVE "/>
    <x v="0"/>
    <m/>
    <x v="1"/>
    <n v="0.05"/>
    <n v="4324"/>
  </r>
  <r>
    <x v="80"/>
    <s v="Richard"/>
    <s v="Smith"/>
    <x v="67"/>
    <x v="5"/>
    <s v="HR01"/>
    <s v="HR01"/>
    <d v="2018-09-29T00:00:00"/>
    <x v="8"/>
    <s v="09/29/2018"/>
    <n v="47694"/>
    <x v="13"/>
    <s v=" ACTIVE "/>
    <x v="0"/>
    <m/>
    <x v="1"/>
    <n v="0.05"/>
    <n v="2384.7000000000003"/>
  </r>
  <r>
    <x v="81"/>
    <s v="Melissa"/>
    <s v="Wilson"/>
    <x v="68"/>
    <x v="0"/>
    <s v="IT02"/>
    <s v="IT02"/>
    <d v="2023-09-02T00:00:00"/>
    <x v="5"/>
    <d v="2023-09-02T00:00:00"/>
    <n v="83724"/>
    <x v="48"/>
    <s v="Resigned"/>
    <x v="1"/>
    <m/>
    <x v="1"/>
    <n v="0.05"/>
    <n v="4186.2"/>
  </r>
  <r>
    <x v="82"/>
    <s v="Thomas"/>
    <s v="Williams"/>
    <x v="69"/>
    <x v="2"/>
    <s v="FIN03"/>
    <s v=" FIN03 "/>
    <d v="2022-07-17T00:00:00"/>
    <x v="3"/>
    <d v="2022-07-17T00:00:00"/>
    <n v="98299"/>
    <x v="45"/>
    <s v="Actv"/>
    <x v="0"/>
    <m/>
    <x v="0"/>
    <n v="0.02"/>
    <n v="1965.98"/>
  </r>
  <r>
    <x v="83"/>
    <s v="David"/>
    <s v="Williams"/>
    <x v="70"/>
    <x v="2"/>
    <s v="FIN03"/>
    <s v="FIN03"/>
    <d v="2021-02-07T00:00:00"/>
    <x v="6"/>
    <s v="07-Feb-21"/>
    <n v="83604"/>
    <x v="21"/>
    <s v="Actv"/>
    <x v="0"/>
    <m/>
    <x v="0"/>
    <n v="0.02"/>
    <n v="1672.08"/>
  </r>
  <r>
    <x v="84"/>
    <s v="John"/>
    <s v="Johnson"/>
    <x v="71"/>
    <x v="0"/>
    <s v="IT02"/>
    <s v="IT02"/>
    <d v="2023-10-04T00:00:00"/>
    <x v="5"/>
    <s v="10/04/2023"/>
    <n v="52287"/>
    <x v="1"/>
    <s v="active"/>
    <x v="0"/>
    <m/>
    <x v="1"/>
    <n v="0.05"/>
    <n v="2614.3500000000004"/>
  </r>
  <r>
    <x v="85"/>
    <s v="Richard"/>
    <s v="Gonzalez"/>
    <x v="58"/>
    <x v="0"/>
    <s v="IT02"/>
    <s v="IT02"/>
    <d v="2020-08-30T00:00:00"/>
    <x v="6"/>
    <d v="2020-08-30T00:00:00"/>
    <n v="82633"/>
    <x v="26"/>
    <s v=" ACTIVE "/>
    <x v="0"/>
    <m/>
    <x v="4"/>
    <n v="0.12"/>
    <n v="9915.9599999999991"/>
  </r>
  <r>
    <x v="86"/>
    <s v="Melissa"/>
    <s v="Anderson"/>
    <x v="72"/>
    <x v="3"/>
    <s v="OPS06"/>
    <s v=" OPS06 "/>
    <d v="2021-08-14T00:00:00"/>
    <x v="1"/>
    <d v="2021-08-14T00:00:00"/>
    <n v="46508"/>
    <x v="44"/>
    <s v="active"/>
    <x v="0"/>
    <m/>
    <x v="2"/>
    <n v="0"/>
    <n v="0"/>
  </r>
  <r>
    <x v="87"/>
    <s v="Emily"/>
    <s v="Gonzalez"/>
    <x v="2"/>
    <x v="5"/>
    <s v="HR01"/>
    <s v="HR01"/>
    <d v="2019-11-27T00:00:00"/>
    <x v="4"/>
    <s v="27-Nov-19"/>
    <n v="86232"/>
    <x v="12"/>
    <s v="active"/>
    <x v="0"/>
    <m/>
    <x v="3"/>
    <n v="0.08"/>
    <n v="6898.56"/>
  </r>
  <r>
    <x v="88"/>
    <s v="Jane"/>
    <s v="Davis"/>
    <x v="46"/>
    <x v="0"/>
    <s v="IT02"/>
    <s v="IT02"/>
    <d v="2017-05-25T00:00:00"/>
    <x v="7"/>
    <s v="25-May-17"/>
    <n v="77545"/>
    <x v="9"/>
    <s v="active"/>
    <x v="0"/>
    <m/>
    <x v="2"/>
    <n v="0"/>
    <n v="0"/>
  </r>
  <r>
    <x v="89"/>
    <s v="William"/>
    <s v="Gonzalez"/>
    <x v="73"/>
    <x v="3"/>
    <s v="OPS06"/>
    <s v=" OPS06 "/>
    <d v="2018-12-02T00:00:00"/>
    <x v="8"/>
    <d v="2018-12-02T00:00:00"/>
    <n v="68683"/>
    <x v="19"/>
    <s v="Actv"/>
    <x v="0"/>
    <m/>
    <x v="3"/>
    <n v="0.08"/>
    <n v="5494.64"/>
  </r>
  <r>
    <x v="90"/>
    <s v="Thomas"/>
    <s v="Jones"/>
    <x v="56"/>
    <x v="2"/>
    <s v="FIN03"/>
    <s v="FIN03"/>
    <d v="2019-06-23T00:00:00"/>
    <x v="8"/>
    <d v="2019-06-23T00:00:00"/>
    <n v="83932"/>
    <x v="49"/>
    <s v=" LEFT "/>
    <x v="1"/>
    <m/>
    <x v="0"/>
    <n v="0.02"/>
    <n v="1678.64"/>
  </r>
  <r>
    <x v="91"/>
    <s v="Jessica"/>
    <s v="Anderson"/>
    <x v="74"/>
    <x v="5"/>
    <s v="HR01"/>
    <s v="HR01"/>
    <d v="2015-10-27T00:00:00"/>
    <x v="2"/>
    <d v="2015-10-27T00:00:00"/>
    <n v="56073"/>
    <x v="6"/>
    <s v="active"/>
    <x v="0"/>
    <m/>
    <x v="1"/>
    <n v="0.05"/>
    <n v="2803.65"/>
  </r>
  <r>
    <x v="92"/>
    <s v="Melissa"/>
    <s v="Johnson"/>
    <x v="42"/>
    <x v="0"/>
    <s v="IT02"/>
    <s v=" IT02 "/>
    <d v="2018-06-19T00:00:00"/>
    <x v="0"/>
    <d v="2018-06-19T00:00:00"/>
    <n v="88056"/>
    <x v="20"/>
    <s v="Actv"/>
    <x v="0"/>
    <m/>
    <x v="0"/>
    <n v="0.02"/>
    <n v="1761.1200000000001"/>
  </r>
  <r>
    <x v="93"/>
    <s v="Thomas"/>
    <s v="Miller"/>
    <x v="75"/>
    <x v="3"/>
    <s v="OPS06"/>
    <s v="OPS06"/>
    <d v="2018-01-12T00:00:00"/>
    <x v="0"/>
    <d v="2018-01-12T00:00:00"/>
    <n v="67414"/>
    <x v="30"/>
    <s v="Left"/>
    <x v="1"/>
    <m/>
    <x v="1"/>
    <n v="0.05"/>
    <n v="3370.7000000000003"/>
  </r>
  <r>
    <x v="94"/>
    <s v="William"/>
    <s v="Gonzalez"/>
    <x v="73"/>
    <x v="4"/>
    <s v="SAL05"/>
    <s v="SAL05"/>
    <d v="2015-01-04T00:00:00"/>
    <x v="9"/>
    <d v="2015-01-04T00:00:00"/>
    <n v="115288"/>
    <x v="45"/>
    <s v="Actv"/>
    <x v="0"/>
    <m/>
    <x v="0"/>
    <n v="0.02"/>
    <n v="2305.7600000000002"/>
  </r>
  <r>
    <x v="95"/>
    <m/>
    <s v="Smith"/>
    <x v="76"/>
    <x v="4"/>
    <s v="SAL05"/>
    <s v="SAL05"/>
    <d v="2018-12-05T00:00:00"/>
    <x v="8"/>
    <d v="2018-12-05T00:00:00"/>
    <n v="80140"/>
    <x v="7"/>
    <s v="active"/>
    <x v="0"/>
    <m/>
    <x v="0"/>
    <n v="0.02"/>
    <n v="1602.8"/>
  </r>
  <r>
    <x v="96"/>
    <s v="John"/>
    <s v="Johnson"/>
    <x v="71"/>
    <x v="0"/>
    <s v="IT02"/>
    <s v="IT02"/>
    <d v="2021-10-13T00:00:00"/>
    <x v="1"/>
    <d v="2021-10-13T00:00:00"/>
    <n v="73087"/>
    <x v="50"/>
    <s v="Actv"/>
    <x v="0"/>
    <m/>
    <x v="0"/>
    <n v="0.02"/>
    <n v="1461.74"/>
  </r>
  <r>
    <x v="97"/>
    <s v="Jane"/>
    <s v="Johnson"/>
    <x v="77"/>
    <x v="4"/>
    <s v="SAL05"/>
    <s v=" SAL05 "/>
    <d v="2020-09-07T00:00:00"/>
    <x v="6"/>
    <d v="2020-09-07T00:00:00"/>
    <n v="95292"/>
    <x v="44"/>
    <s v="active"/>
    <x v="0"/>
    <m/>
    <x v="2"/>
    <n v="0"/>
    <n v="0"/>
  </r>
  <r>
    <x v="98"/>
    <s v="John"/>
    <s v="Jones"/>
    <x v="78"/>
    <x v="0"/>
    <s v="IT02"/>
    <s v=" IT02 "/>
    <d v="2019-03-08T00:00:00"/>
    <x v="8"/>
    <s v="03/08/2019"/>
    <n v="83604"/>
    <x v="35"/>
    <s v="active"/>
    <x v="0"/>
    <m/>
    <x v="2"/>
    <n v="0"/>
    <n v="0"/>
  </r>
  <r>
    <x v="99"/>
    <s v="Jane"/>
    <s v="Lopez"/>
    <x v="79"/>
    <x v="1"/>
    <s v="MKT04"/>
    <s v="MKT04"/>
    <d v="2015-03-11T00:00:00"/>
    <x v="9"/>
    <s v="11-Mar-15"/>
    <n v="101750"/>
    <x v="30"/>
    <s v="Left"/>
    <x v="1"/>
    <m/>
    <x v="1"/>
    <n v="0.05"/>
    <n v="5087.5"/>
  </r>
  <r>
    <x v="100"/>
    <s v="Melissa"/>
    <s v="Gonzalez"/>
    <x v="80"/>
    <x v="1"/>
    <s v="MKT04"/>
    <s v="MKT04"/>
    <d v="2017-02-19T00:00:00"/>
    <x v="7"/>
    <s v="19-Feb-17"/>
    <n v="82992"/>
    <x v="6"/>
    <s v="Actv"/>
    <x v="0"/>
    <m/>
    <x v="1"/>
    <n v="0.05"/>
    <n v="4149.6000000000004"/>
  </r>
  <r>
    <x v="101"/>
    <s v="William"/>
    <s v="Davis"/>
    <x v="81"/>
    <x v="0"/>
    <s v="IT02"/>
    <s v="IT02"/>
    <d v="2023-05-09T00:00:00"/>
    <x v="3"/>
    <d v="2023-05-09T00:00:00"/>
    <n v="49942"/>
    <x v="51"/>
    <s v="active"/>
    <x v="0"/>
    <m/>
    <x v="0"/>
    <n v="0.02"/>
    <n v="998.84"/>
  </r>
  <r>
    <x v="102"/>
    <s v="John"/>
    <s v="Smith"/>
    <x v="82"/>
    <x v="3"/>
    <s v="OPS06"/>
    <s v=" OPS06 "/>
    <d v="2018-01-22T00:00:00"/>
    <x v="0"/>
    <d v="2018-01-22T00:00:00"/>
    <n v="89060"/>
    <x v="7"/>
    <s v="active"/>
    <x v="0"/>
    <m/>
    <x v="0"/>
    <n v="0.02"/>
    <n v="1781.2"/>
  </r>
  <r>
    <x v="103"/>
    <s v="James"/>
    <s v="Gonzalez"/>
    <x v="62"/>
    <x v="0"/>
    <s v="IT02"/>
    <s v="IT02"/>
    <d v="2020-02-18T00:00:00"/>
    <x v="4"/>
    <d v="2020-02-18T00:00:00"/>
    <n v="53786"/>
    <x v="26"/>
    <s v="active"/>
    <x v="0"/>
    <m/>
    <x v="4"/>
    <n v="0.12"/>
    <n v="6454.32"/>
  </r>
  <r>
    <x v="104"/>
    <s v="Emily"/>
    <s v="Johnson"/>
    <x v="5"/>
    <x v="3"/>
    <s v="OPS06"/>
    <s v="OPS06"/>
    <d v="2016-05-22T00:00:00"/>
    <x v="2"/>
    <s v="05/22/2016"/>
    <n v="81167"/>
    <x v="1"/>
    <s v="active"/>
    <x v="0"/>
    <m/>
    <x v="1"/>
    <n v="0.05"/>
    <n v="4058.3500000000004"/>
  </r>
  <r>
    <x v="105"/>
    <s v="William"/>
    <s v="Williams"/>
    <x v="83"/>
    <x v="1"/>
    <s v="MKT04"/>
    <s v="MKT04"/>
    <d v="2021-06-02T00:00:00"/>
    <x v="6"/>
    <d v="2021-06-02T00:00:00"/>
    <n v="66688"/>
    <x v="3"/>
    <s v="Left"/>
    <x v="1"/>
    <m/>
    <x v="2"/>
    <n v="0"/>
    <n v="0"/>
  </r>
  <r>
    <x v="106"/>
    <s v="James"/>
    <s v="Jones"/>
    <x v="84"/>
    <x v="0"/>
    <s v="IT02"/>
    <s v="IT02"/>
    <d v="2021-07-17T00:00:00"/>
    <x v="1"/>
    <d v="2021-07-17T00:00:00"/>
    <n v="91672"/>
    <x v="15"/>
    <s v=" ACTIVE "/>
    <x v="0"/>
    <m/>
    <x v="3"/>
    <n v="0.08"/>
    <n v="7333.76"/>
  </r>
  <r>
    <x v="107"/>
    <s v="Jessica"/>
    <s v="Gonzalez"/>
    <x v="85"/>
    <x v="5"/>
    <s v="HR01"/>
    <s v=" HR01 "/>
    <d v="2016-11-13T00:00:00"/>
    <x v="7"/>
    <s v="13-Nov-16"/>
    <n v="77737"/>
    <x v="10"/>
    <s v="active"/>
    <x v="0"/>
    <m/>
    <x v="1"/>
    <n v="0.05"/>
    <n v="3886.8500000000004"/>
  </r>
  <r>
    <x v="108"/>
    <s v="Sarah"/>
    <s v="Miller"/>
    <x v="35"/>
    <x v="4"/>
    <s v="SAL05"/>
    <s v=" SAL05 "/>
    <d v="2019-02-17T00:00:00"/>
    <x v="8"/>
    <d v="2019-02-17T00:00:00"/>
    <n v="95686"/>
    <x v="36"/>
    <s v="active"/>
    <x v="0"/>
    <m/>
    <x v="3"/>
    <n v="0.08"/>
    <n v="7654.88"/>
  </r>
  <r>
    <x v="109"/>
    <s v="Jessica"/>
    <s v="Smith"/>
    <x v="7"/>
    <x v="4"/>
    <s v="SAL05"/>
    <s v="SAL05"/>
    <d v="2016-09-12T00:00:00"/>
    <x v="7"/>
    <d v="2016-09-12T00:00:00"/>
    <n v="114681"/>
    <x v="40"/>
    <s v=" ACTIVE "/>
    <x v="0"/>
    <m/>
    <x v="2"/>
    <n v="0"/>
    <n v="0"/>
  </r>
  <r>
    <x v="110"/>
    <s v="Thomas"/>
    <s v="Jones"/>
    <x v="56"/>
    <x v="3"/>
    <s v="OPS06"/>
    <s v=" OPS06 "/>
    <d v="2021-08-13T00:00:00"/>
    <x v="1"/>
    <s v="13-Aug-21"/>
    <n v="109121"/>
    <x v="23"/>
    <s v="active"/>
    <x v="0"/>
    <m/>
    <x v="1"/>
    <n v="0.05"/>
    <n v="5456.05"/>
  </r>
  <r>
    <x v="111"/>
    <s v="Amanda"/>
    <s v="Brown"/>
    <x v="86"/>
    <x v="1"/>
    <s v="MKT04"/>
    <s v="MKT04"/>
    <d v="2020-06-14T00:00:00"/>
    <x v="4"/>
    <d v="2020-06-14T00:00:00"/>
    <n v="112791"/>
    <x v="39"/>
    <s v="active"/>
    <x v="0"/>
    <m/>
    <x v="3"/>
    <n v="0.08"/>
    <n v="9023.2800000000007"/>
  </r>
  <r>
    <x v="112"/>
    <s v="Robert"/>
    <s v="Martinez"/>
    <x v="87"/>
    <x v="0"/>
    <s v="IT02"/>
    <s v=" IT02 "/>
    <d v="2022-07-05T00:00:00"/>
    <x v="3"/>
    <s v="05-Jul-22"/>
    <n v="118008"/>
    <x v="27"/>
    <s v="active"/>
    <x v="0"/>
    <m/>
    <x v="1"/>
    <n v="0.05"/>
    <n v="5900.4000000000005"/>
  </r>
  <r>
    <x v="113"/>
    <s v="Thomas"/>
    <s v="Miller"/>
    <x v="75"/>
    <x v="0"/>
    <s v="IT02"/>
    <s v="IT02"/>
    <d v="2016-07-10T00:00:00"/>
    <x v="7"/>
    <s v="07/10/2016"/>
    <n v="74370"/>
    <x v="52"/>
    <s v="Actv"/>
    <x v="0"/>
    <m/>
    <x v="1"/>
    <n v="0.05"/>
    <n v="3718.5"/>
  </r>
  <r>
    <x v="114"/>
    <s v="David"/>
    <s v="Rodriguez"/>
    <x v="88"/>
    <x v="0"/>
    <s v="IT02"/>
    <s v=" IT02 "/>
    <d v="2022-04-23T00:00:00"/>
    <x v="1"/>
    <d v="2022-04-23T00:00:00"/>
    <n v="77819"/>
    <x v="6"/>
    <s v=" ACTIVE "/>
    <x v="0"/>
    <m/>
    <x v="1"/>
    <n v="0.05"/>
    <n v="3890.9500000000003"/>
  </r>
  <r>
    <x v="115"/>
    <s v="Jane"/>
    <s v="Miller"/>
    <x v="13"/>
    <x v="1"/>
    <s v="MKT04"/>
    <s v=" MKT04 "/>
    <d v="2017-05-10T00:00:00"/>
    <x v="7"/>
    <s v="05/10/2017"/>
    <n v="48748"/>
    <x v="53"/>
    <s v="Actv"/>
    <x v="0"/>
    <m/>
    <x v="1"/>
    <n v="0.05"/>
    <n v="2437.4"/>
  </r>
  <r>
    <x v="116"/>
    <s v="James"/>
    <s v="Rodriguez"/>
    <x v="89"/>
    <x v="3"/>
    <s v="OPS06"/>
    <s v="OPS06"/>
    <d v="2020-05-20T00:00:00"/>
    <x v="4"/>
    <d v="2020-05-20T00:00:00"/>
    <n v="101997"/>
    <x v="54"/>
    <s v="Resigned"/>
    <x v="1"/>
    <m/>
    <x v="2"/>
    <n v="0"/>
    <n v="0"/>
  </r>
  <r>
    <x v="117"/>
    <s v="Sarah"/>
    <s v="Rodriguez"/>
    <x v="90"/>
    <x v="5"/>
    <s v="HR01"/>
    <s v="HR01"/>
    <d v="2023-04-20T00:00:00"/>
    <x v="3"/>
    <s v="04/20/2023"/>
    <n v="115260"/>
    <x v="10"/>
    <s v="Actv"/>
    <x v="0"/>
    <m/>
    <x v="1"/>
    <n v="0.05"/>
    <n v="5763"/>
  </r>
  <r>
    <x v="118"/>
    <s v="Sarah"/>
    <s v="Wilson"/>
    <x v="91"/>
    <x v="4"/>
    <s v="SAL05"/>
    <s v="SAL05"/>
    <d v="2021-10-31T00:00:00"/>
    <x v="1"/>
    <d v="2021-10-31T00:00:00"/>
    <n v="83604"/>
    <x v="4"/>
    <s v="active"/>
    <x v="0"/>
    <m/>
    <x v="2"/>
    <n v="0"/>
    <n v="0"/>
  </r>
  <r>
    <x v="119"/>
    <s v="Melissa"/>
    <s v="Brown"/>
    <x v="33"/>
    <x v="0"/>
    <s v="IT02"/>
    <s v=" IT02 "/>
    <d v="2021-10-24T00:00:00"/>
    <x v="1"/>
    <s v="24-Oct-21"/>
    <n v="83604"/>
    <x v="50"/>
    <s v="Left"/>
    <x v="1"/>
    <m/>
    <x v="0"/>
    <n v="0.02"/>
    <n v="1672.08"/>
  </r>
  <r>
    <x v="120"/>
    <s v="Robert"/>
    <s v="Williams"/>
    <x v="92"/>
    <x v="4"/>
    <s v="SAL05"/>
    <s v="SAL05"/>
    <d v="2017-08-09T00:00:00"/>
    <x v="0"/>
    <d v="2017-08-09T00:00:00"/>
    <n v="83604"/>
    <x v="29"/>
    <s v="active"/>
    <x v="0"/>
    <m/>
    <x v="1"/>
    <n v="0.05"/>
    <n v="4180.2"/>
  </r>
  <r>
    <x v="121"/>
    <s v="Melissa"/>
    <s v="Rodriguez"/>
    <x v="93"/>
    <x v="3"/>
    <s v="OPS06"/>
    <s v="OPS06"/>
    <d v="2023-01-04T00:00:00"/>
    <x v="3"/>
    <d v="2023-01-04T00:00:00"/>
    <n v="60623"/>
    <x v="24"/>
    <s v="active"/>
    <x v="0"/>
    <m/>
    <x v="1"/>
    <n v="0.05"/>
    <n v="3031.15"/>
  </r>
  <r>
    <x v="122"/>
    <s v="James"/>
    <s v="Johnson"/>
    <x v="45"/>
    <x v="5"/>
    <s v="HR01"/>
    <s v=" HR01 "/>
    <d v="2020-08-10T00:00:00"/>
    <x v="6"/>
    <s v="10-Aug-20"/>
    <n v="68092"/>
    <x v="12"/>
    <s v="active"/>
    <x v="0"/>
    <m/>
    <x v="3"/>
    <n v="0.08"/>
    <n v="5447.36"/>
  </r>
  <r>
    <x v="123"/>
    <s v="Michael"/>
    <s v="Wilson"/>
    <x v="25"/>
    <x v="1"/>
    <s v="MKT04"/>
    <s v="MKT04"/>
    <d v="2022-04-02T00:00:00"/>
    <x v="1"/>
    <d v="2022-04-02T00:00:00"/>
    <n v="88155"/>
    <x v="21"/>
    <s v="active"/>
    <x v="0"/>
    <m/>
    <x v="0"/>
    <n v="0.02"/>
    <n v="1763.1000000000001"/>
  </r>
  <r>
    <x v="124"/>
    <s v="William"/>
    <s v="Jones"/>
    <x v="94"/>
    <x v="1"/>
    <s v="MKT04"/>
    <s v="MKT04"/>
    <d v="2018-03-24T00:00:00"/>
    <x v="0"/>
    <s v="24-Mar-18"/>
    <n v="107903"/>
    <x v="11"/>
    <s v=" ACTIVE "/>
    <x v="0"/>
    <m/>
    <x v="2"/>
    <n v="0"/>
    <n v="0"/>
  </r>
  <r>
    <x v="125"/>
    <s v="William"/>
    <s v="Williams"/>
    <x v="83"/>
    <x v="0"/>
    <s v="IT02"/>
    <s v="IT02"/>
    <d v="2018-07-24T00:00:00"/>
    <x v="8"/>
    <d v="2018-07-24T00:00:00"/>
    <n v="62818"/>
    <x v="44"/>
    <s v=" ACTIVE "/>
    <x v="0"/>
    <m/>
    <x v="2"/>
    <n v="0"/>
    <n v="0"/>
  </r>
  <r>
    <x v="126"/>
    <s v="David"/>
    <s v="Williams"/>
    <x v="70"/>
    <x v="5"/>
    <s v="HR01"/>
    <s v=" HR01 "/>
    <d v="2018-07-20T00:00:00"/>
    <x v="8"/>
    <d v="2018-07-20T00:00:00"/>
    <n v="85151"/>
    <x v="55"/>
    <s v=" ACTIVE "/>
    <x v="0"/>
    <m/>
    <x v="2"/>
    <n v="0"/>
    <n v="0"/>
  </r>
  <r>
    <x v="127"/>
    <s v="Jane"/>
    <s v="Davis"/>
    <x v="46"/>
    <x v="2"/>
    <s v="FIN03"/>
    <s v=" FIN03 "/>
    <d v="2016-03-04T00:00:00"/>
    <x v="2"/>
    <s v="04-Mar-16"/>
    <n v="46390"/>
    <x v="34"/>
    <s v="Actv"/>
    <x v="0"/>
    <m/>
    <x v="4"/>
    <n v="0.12"/>
    <n v="5566.8"/>
  </r>
  <r>
    <x v="128"/>
    <s v="John"/>
    <s v="Martinez"/>
    <x v="3"/>
    <x v="5"/>
    <s v="HR01"/>
    <s v=" HR01 "/>
    <d v="2022-03-23T00:00:00"/>
    <x v="1"/>
    <d v="2022-03-23T00:00:00"/>
    <n v="111920"/>
    <x v="19"/>
    <s v=" LEFT "/>
    <x v="1"/>
    <m/>
    <x v="3"/>
    <n v="0.08"/>
    <n v="8953.6"/>
  </r>
  <r>
    <x v="129"/>
    <s v="David"/>
    <s v="Anderson"/>
    <x v="95"/>
    <x v="5"/>
    <s v="HR01"/>
    <s v="HR01"/>
    <d v="2017-07-28T00:00:00"/>
    <x v="0"/>
    <s v="28-Jul-17"/>
    <n v="115618"/>
    <x v="11"/>
    <s v=" ACTIVE "/>
    <x v="0"/>
    <m/>
    <x v="2"/>
    <n v="0"/>
    <n v="0"/>
  </r>
  <r>
    <x v="130"/>
    <s v="Sarah"/>
    <s v="Smith"/>
    <x v="96"/>
    <x v="4"/>
    <s v="SAL05"/>
    <s v="SAL05"/>
    <d v="2023-05-11T00:00:00"/>
    <x v="3"/>
    <s v="05/11/2023"/>
    <n v="110618"/>
    <x v="15"/>
    <s v="Resigned"/>
    <x v="1"/>
    <m/>
    <x v="3"/>
    <n v="0.08"/>
    <n v="8849.44"/>
  </r>
  <r>
    <x v="131"/>
    <s v="Melissa"/>
    <s v="Hernandez"/>
    <x v="97"/>
    <x v="3"/>
    <s v="OPS06"/>
    <s v=" OPS06 "/>
    <d v="2022-03-19T00:00:00"/>
    <x v="1"/>
    <s v="19-Mar-22"/>
    <n v="108395"/>
    <x v="24"/>
    <s v="Left"/>
    <x v="1"/>
    <m/>
    <x v="1"/>
    <n v="0.05"/>
    <n v="5419.75"/>
  </r>
  <r>
    <x v="132"/>
    <s v="Melissa"/>
    <s v="Johnson"/>
    <x v="42"/>
    <x v="2"/>
    <s v="FIN03"/>
    <s v="FIN03"/>
    <d v="2017-12-22T00:00:00"/>
    <x v="0"/>
    <d v="2017-12-22T00:00:00"/>
    <n v="88005"/>
    <x v="50"/>
    <s v="Actv"/>
    <x v="0"/>
    <m/>
    <x v="0"/>
    <n v="0.02"/>
    <n v="1760.1000000000001"/>
  </r>
  <r>
    <x v="133"/>
    <s v="Jane"/>
    <s v="Garcia"/>
    <x v="98"/>
    <x v="1"/>
    <s v="MKT04"/>
    <s v=" MKT04 "/>
    <d v="2021-08-29T00:00:00"/>
    <x v="1"/>
    <s v="08/29/2021"/>
    <n v="83007"/>
    <x v="52"/>
    <s v="active"/>
    <x v="0"/>
    <m/>
    <x v="1"/>
    <n v="0.05"/>
    <n v="4150.3500000000004"/>
  </r>
  <r>
    <x v="134"/>
    <s v="David"/>
    <s v="Davis"/>
    <x v="99"/>
    <x v="0"/>
    <s v="IT02"/>
    <s v="IT02"/>
    <d v="2018-09-17T00:00:00"/>
    <x v="8"/>
    <d v="2018-09-17T00:00:00"/>
    <n v="61547"/>
    <x v="21"/>
    <s v=" ACTIVE "/>
    <x v="0"/>
    <m/>
    <x v="0"/>
    <n v="0.02"/>
    <n v="1230.94"/>
  </r>
  <r>
    <x v="135"/>
    <s v="James"/>
    <s v="Wilson"/>
    <x v="100"/>
    <x v="4"/>
    <s v="SAL05"/>
    <s v="SAL05"/>
    <d v="2021-06-28T00:00:00"/>
    <x v="6"/>
    <d v="2021-06-28T00:00:00"/>
    <n v="83604"/>
    <x v="0"/>
    <s v="active"/>
    <x v="0"/>
    <m/>
    <x v="0"/>
    <n v="0.02"/>
    <n v="1672.08"/>
  </r>
  <r>
    <x v="136"/>
    <s v="Richard"/>
    <s v="Johnson"/>
    <x v="101"/>
    <x v="3"/>
    <s v="OPS06"/>
    <s v="OPS06"/>
    <d v="2017-10-03T00:00:00"/>
    <x v="0"/>
    <s v="03-Oct-17"/>
    <n v="50399"/>
    <x v="56"/>
    <s v="Left"/>
    <x v="1"/>
    <m/>
    <x v="3"/>
    <n v="0.08"/>
    <n v="4031.92"/>
  </r>
  <r>
    <x v="137"/>
    <s v="Richard"/>
    <s v="Williams"/>
    <x v="102"/>
    <x v="2"/>
    <s v="FIN03"/>
    <s v="FIN03"/>
    <d v="2015-10-22T00:00:00"/>
    <x v="2"/>
    <s v="10/22/2015"/>
    <n v="83604"/>
    <x v="8"/>
    <s v=" ACTIVE "/>
    <x v="0"/>
    <m/>
    <x v="0"/>
    <n v="0.02"/>
    <n v="1672.08"/>
  </r>
  <r>
    <x v="138"/>
    <s v="John"/>
    <s v="Hernandez"/>
    <x v="103"/>
    <x v="3"/>
    <s v="OPS06"/>
    <s v="OPS06"/>
    <d v="2018-06-06T00:00:00"/>
    <x v="0"/>
    <d v="2018-06-06T00:00:00"/>
    <n v="52720"/>
    <x v="21"/>
    <s v=" ACTIVE "/>
    <x v="0"/>
    <m/>
    <x v="0"/>
    <n v="0.02"/>
    <n v="1054.4000000000001"/>
  </r>
  <r>
    <x v="139"/>
    <s v="Sarah"/>
    <s v="Gonzalez"/>
    <x v="104"/>
    <x v="3"/>
    <s v="OPS06"/>
    <s v="OPS06"/>
    <d v="2017-07-16T00:00:00"/>
    <x v="0"/>
    <d v="2017-07-16T00:00:00"/>
    <n v="65065"/>
    <x v="26"/>
    <s v="active"/>
    <x v="0"/>
    <m/>
    <x v="4"/>
    <n v="0.12"/>
    <n v="7807.7999999999993"/>
  </r>
  <r>
    <x v="140"/>
    <s v="Melissa"/>
    <s v="Hernandez"/>
    <x v="97"/>
    <x v="4"/>
    <s v="SAL05"/>
    <s v="SAL05"/>
    <d v="2015-06-20T00:00:00"/>
    <x v="9"/>
    <d v="2015-06-20T00:00:00"/>
    <n v="83604"/>
    <x v="47"/>
    <s v="Resigned"/>
    <x v="1"/>
    <m/>
    <x v="3"/>
    <n v="0.08"/>
    <n v="6688.32"/>
  </r>
  <r>
    <x v="141"/>
    <s v="Melissa"/>
    <s v="Hernandez"/>
    <x v="97"/>
    <x v="3"/>
    <s v="OPS06"/>
    <s v=" OPS06 "/>
    <d v="2019-05-24T00:00:00"/>
    <x v="8"/>
    <d v="2019-05-24T00:00:00"/>
    <n v="108119"/>
    <x v="49"/>
    <s v="Resigned"/>
    <x v="1"/>
    <m/>
    <x v="0"/>
    <n v="0.02"/>
    <n v="2162.38"/>
  </r>
  <r>
    <x v="142"/>
    <s v="John"/>
    <s v="Davis"/>
    <x v="44"/>
    <x v="0"/>
    <s v="IT02"/>
    <s v="IT02"/>
    <d v="2020-02-26T00:00:00"/>
    <x v="4"/>
    <d v="2020-02-26T00:00:00"/>
    <n v="83604"/>
    <x v="33"/>
    <s v="active"/>
    <x v="0"/>
    <m/>
    <x v="4"/>
    <n v="0.12"/>
    <n v="10032.48"/>
  </r>
  <r>
    <x v="143"/>
    <s v="Richard"/>
    <s v="Davis"/>
    <x v="47"/>
    <x v="5"/>
    <s v="HR01"/>
    <s v="HR01"/>
    <d v="2023-03-06T00:00:00"/>
    <x v="3"/>
    <d v="2023-03-06T00:00:00"/>
    <n v="106896"/>
    <x v="0"/>
    <s v=" LEFT "/>
    <x v="1"/>
    <m/>
    <x v="0"/>
    <n v="0.02"/>
    <n v="2137.92"/>
  </r>
  <r>
    <x v="144"/>
    <m/>
    <s v="Jones"/>
    <x v="105"/>
    <x v="0"/>
    <s v="IT02"/>
    <s v=" IT02 "/>
    <d v="2019-01-12T00:00:00"/>
    <x v="8"/>
    <s v="01/12/2019"/>
    <n v="112887"/>
    <x v="18"/>
    <s v="Actv"/>
    <x v="0"/>
    <m/>
    <x v="0"/>
    <n v="0.02"/>
    <n v="2257.7400000000002"/>
  </r>
  <r>
    <x v="145"/>
    <s v="William"/>
    <s v="Rodriguez"/>
    <x v="106"/>
    <x v="2"/>
    <s v="FIN03"/>
    <s v="FIN03"/>
    <d v="2023-04-21T00:00:00"/>
    <x v="3"/>
    <d v="2023-04-21T00:00:00"/>
    <n v="85457"/>
    <x v="6"/>
    <s v=" ACTIVE "/>
    <x v="0"/>
    <m/>
    <x v="1"/>
    <n v="0.05"/>
    <n v="4272.8500000000004"/>
  </r>
  <r>
    <x v="146"/>
    <s v="Melissa"/>
    <s v="Miller"/>
    <x v="107"/>
    <x v="4"/>
    <s v="SAL05"/>
    <s v="SAL05"/>
    <d v="2016-05-29T00:00:00"/>
    <x v="2"/>
    <d v="2016-05-29T00:00:00"/>
    <n v="62798"/>
    <x v="25"/>
    <s v=" ACTIVE "/>
    <x v="0"/>
    <m/>
    <x v="2"/>
    <n v="0"/>
    <n v="0"/>
  </r>
  <r>
    <x v="147"/>
    <s v="Emily"/>
    <s v="Martinez"/>
    <x v="108"/>
    <x v="3"/>
    <s v="OPS06"/>
    <s v="OPS06"/>
    <d v="2022-05-30T00:00:00"/>
    <x v="1"/>
    <d v="2022-05-30T00:00:00"/>
    <n v="47794"/>
    <x v="57"/>
    <s v=" LEFT "/>
    <x v="1"/>
    <m/>
    <x v="1"/>
    <n v="0.05"/>
    <n v="2389.7000000000003"/>
  </r>
  <r>
    <x v="148"/>
    <s v="James"/>
    <s v="Rodriguez"/>
    <x v="89"/>
    <x v="1"/>
    <s v="MKT04"/>
    <s v="MKT04"/>
    <d v="2016-11-03T00:00:00"/>
    <x v="7"/>
    <s v="03-Nov-16"/>
    <n v="93094"/>
    <x v="46"/>
    <s v="active"/>
    <x v="0"/>
    <m/>
    <x v="1"/>
    <n v="0.05"/>
    <n v="4654.7"/>
  </r>
  <r>
    <x v="149"/>
    <s v="Amanda"/>
    <s v="Brown"/>
    <x v="86"/>
    <x v="0"/>
    <s v="IT02"/>
    <s v="IT02"/>
    <d v="2022-10-14T00:00:00"/>
    <x v="3"/>
    <d v="2022-10-14T00:00:00"/>
    <n v="118634"/>
    <x v="36"/>
    <s v=" ACTIVE "/>
    <x v="0"/>
    <m/>
    <x v="3"/>
    <n v="0.08"/>
    <n v="9490.7199999999993"/>
  </r>
  <r>
    <x v="150"/>
    <m/>
    <m/>
    <x v="109"/>
    <x v="6"/>
    <m/>
    <m/>
    <m/>
    <x v="10"/>
    <m/>
    <m/>
    <x v="58"/>
    <m/>
    <x v="2"/>
    <m/>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3CED48-F4A4-41BB-8817-1193C62F34D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0:B26" firstHeaderRow="1" firstDataRow="1" firstDataCol="1"/>
  <pivotFields count="18">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8">
        <item x="2"/>
        <item x="5"/>
        <item x="0"/>
        <item x="1"/>
        <item x="3"/>
        <item x="4"/>
        <item h="1" x="6"/>
        <item t="default"/>
      </items>
    </pivotField>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axis="axisRow" showAll="0" sortType="ascending">
      <items count="7">
        <item x="1"/>
        <item x="0"/>
        <item x="3"/>
        <item x="2"/>
        <item x="4"/>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6">
    <i>
      <x v="4"/>
    </i>
    <i>
      <x/>
    </i>
    <i>
      <x v="2"/>
    </i>
    <i>
      <x v="3"/>
    </i>
    <i>
      <x v="1"/>
    </i>
    <i t="grand">
      <x/>
    </i>
  </rowItems>
  <colItems count="1">
    <i/>
  </colItems>
  <dataFields count="1">
    <dataField name="Average of Salary" fld="10" subtotal="average" baseField="15" baseItem="0" numFmtId="166"/>
  </dataFields>
  <formats count="1">
    <format dxfId="49">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3BE0D-C0C2-46EC-89C8-588CFDA7B8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3:E34" firstHeaderRow="1" firstDataRow="1" firstDataCol="1"/>
  <pivotFields count="18">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8">
        <item x="2"/>
        <item x="5"/>
        <item x="0"/>
        <item x="1"/>
        <item x="3"/>
        <item x="4"/>
        <item h="1" x="6"/>
        <item t="default"/>
      </items>
    </pivotField>
    <pivotField showAll="0"/>
    <pivotField showAll="0"/>
    <pivotField showAll="0"/>
    <pivotField axis="axisRow" showAll="0" sortType="ascending">
      <items count="12">
        <item x="5"/>
        <item x="3"/>
        <item x="1"/>
        <item x="6"/>
        <item x="4"/>
        <item x="8"/>
        <item x="0"/>
        <item x="7"/>
        <item x="2"/>
        <item x="9"/>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pivotField showAll="0">
      <items count="7">
        <item x="1"/>
        <item x="0"/>
        <item x="3"/>
        <item x="2"/>
        <item x="4"/>
        <item x="5"/>
        <item t="default"/>
      </items>
    </pivotField>
    <pivotField showAll="0"/>
    <pivotField showAll="0"/>
  </pivotFields>
  <rowFields count="1">
    <field x="8"/>
  </rowFields>
  <rowItems count="11">
    <i>
      <x v="9"/>
    </i>
    <i>
      <x/>
    </i>
    <i>
      <x v="3"/>
    </i>
    <i>
      <x v="8"/>
    </i>
    <i>
      <x v="4"/>
    </i>
    <i>
      <x v="1"/>
    </i>
    <i>
      <x v="5"/>
    </i>
    <i>
      <x v="6"/>
    </i>
    <i>
      <x v="2"/>
    </i>
    <i>
      <x v="7"/>
    </i>
    <i t="grand">
      <x/>
    </i>
  </rowItems>
  <colItems count="1">
    <i/>
  </colItems>
  <dataFields count="1">
    <dataField name="Count of Emp ID" fld="0" subtotal="count" baseField="0" baseItem="0" numFmtId="1"/>
  </dataFields>
  <formats count="2">
    <format dxfId="47">
      <pivotArea outline="0" collapsedLevelsAreSubtotals="1" fieldPosition="0"/>
    </format>
    <format dxfId="48">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70420F-4707-4DB3-B6E1-B663ABF02A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J11" firstHeaderRow="1" firstDataRow="2" firstDataCol="1"/>
  <pivotFields count="18">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axis="axisRow" showAll="0">
      <items count="8">
        <item x="2"/>
        <item x="5"/>
        <item x="0"/>
        <item x="1"/>
        <item x="3"/>
        <item x="4"/>
        <item h="1" x="6"/>
        <item t="default"/>
      </items>
    </pivotField>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items count="7">
        <item x="1"/>
        <item x="0"/>
        <item x="3"/>
        <item x="2"/>
        <item x="4"/>
        <item x="5"/>
        <item t="default"/>
      </items>
    </pivotField>
    <pivotField showAll="0"/>
    <pivotField showAll="0"/>
  </pivotFields>
  <rowFields count="1">
    <field x="4"/>
  </rowFields>
  <rowItems count="7">
    <i>
      <x/>
    </i>
    <i>
      <x v="1"/>
    </i>
    <i>
      <x v="2"/>
    </i>
    <i>
      <x v="3"/>
    </i>
    <i>
      <x v="4"/>
    </i>
    <i>
      <x v="5"/>
    </i>
    <i t="grand">
      <x/>
    </i>
  </rowItems>
  <colFields count="1">
    <field x="13"/>
  </colFields>
  <colItems count="3">
    <i>
      <x/>
    </i>
    <i>
      <x v="1"/>
    </i>
    <i t="grand">
      <x/>
    </i>
  </colItems>
  <dataFields count="1">
    <dataField name="Count of Emp ID" fld="0" subtotal="count" showDataAs="percentOfRow" baseField="0" baseItem="0" numFmtId="10"/>
  </dataFields>
  <chartFormats count="6">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1" format="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C58700-FEA0-4104-8E83-4BE5B30045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0" firstHeaderRow="1" firstDataRow="1" firstDataCol="1"/>
  <pivotFields count="18">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axis="axisRow" showAll="0" sortType="ascending">
      <items count="8">
        <item x="2"/>
        <item x="5"/>
        <item x="0"/>
        <item x="1"/>
        <item x="3"/>
        <item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items count="7">
        <item x="1"/>
        <item x="0"/>
        <item x="3"/>
        <item x="2"/>
        <item x="4"/>
        <item x="5"/>
        <item t="default"/>
      </items>
    </pivotField>
    <pivotField showAll="0"/>
    <pivotField showAll="0"/>
  </pivotFields>
  <rowFields count="1">
    <field x="4"/>
  </rowFields>
  <rowItems count="7">
    <i>
      <x/>
    </i>
    <i>
      <x v="1"/>
    </i>
    <i>
      <x v="3"/>
    </i>
    <i>
      <x v="4"/>
    </i>
    <i>
      <x v="5"/>
    </i>
    <i>
      <x v="2"/>
    </i>
    <i t="grand">
      <x/>
    </i>
  </rowItems>
  <colItems count="1">
    <i/>
  </colItems>
  <dataFields count="1">
    <dataField name="Sum of Salary" fld="10" baseField="0" baseItem="0" numFmtId="166"/>
  </dataFields>
  <formats count="1">
    <format dxfId="46">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DCD33-27E7-4E69-B9FD-29820D7E81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7" firstHeaderRow="1" firstDataRow="1" firstDataCol="1"/>
  <pivotFields count="18">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8">
        <item x="2"/>
        <item x="5"/>
        <item x="0"/>
        <item x="1"/>
        <item x="3"/>
        <item x="4"/>
        <item h="1" x="6"/>
        <item t="default"/>
      </items>
    </pivotField>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showAll="0">
      <items count="7">
        <item x="1"/>
        <item x="0"/>
        <item x="3"/>
        <item x="2"/>
        <item x="4"/>
        <item x="5"/>
        <item t="default"/>
      </items>
    </pivotField>
    <pivotField showAll="0"/>
    <pivotField showAll="0"/>
  </pivotFields>
  <rowFields count="1">
    <field x="13"/>
  </rowFields>
  <rowItems count="3">
    <i>
      <x/>
    </i>
    <i>
      <x v="1"/>
    </i>
    <i t="grand">
      <x/>
    </i>
  </rowItems>
  <colItems count="1">
    <i/>
  </colItems>
  <dataFields count="1">
    <dataField name="Average of Performance Score" fld="11" subtotal="average" baseField="13" baseItem="0"/>
  </dataFields>
  <formats count="2">
    <format dxfId="44">
      <pivotArea collapsedLevelsAreSubtotals="1" fieldPosition="0">
        <references count="1">
          <reference field="13" count="1">
            <x v="0"/>
          </reference>
        </references>
      </pivotArea>
    </format>
    <format dxfId="45">
      <pivotArea collapsedLevelsAreSubtotals="1" fieldPosition="0">
        <references count="1">
          <reference field="13" count="1">
            <x v="1"/>
          </reference>
        </references>
      </pivotArea>
    </format>
  </formats>
  <chartFormats count="6">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3" count="1" selected="0">
            <x v="0"/>
          </reference>
        </references>
      </pivotArea>
    </chartFormat>
    <chartFormat chart="4" format="13">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E4719-04AB-4218-9044-B8C62BDA955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3:B10" firstHeaderRow="1" firstDataRow="1" firstDataCol="1"/>
  <pivotFields count="18">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items count="111">
        <item x="32"/>
        <item x="105"/>
        <item x="8"/>
        <item x="76"/>
        <item x="24"/>
        <item x="86"/>
        <item x="19"/>
        <item x="43"/>
        <item x="40"/>
        <item x="18"/>
        <item x="23"/>
        <item x="95"/>
        <item x="99"/>
        <item x="37"/>
        <item x="51"/>
        <item x="88"/>
        <item x="70"/>
        <item x="64"/>
        <item x="0"/>
        <item x="16"/>
        <item x="48"/>
        <item x="2"/>
        <item x="11"/>
        <item x="5"/>
        <item x="31"/>
        <item x="108"/>
        <item x="10"/>
        <item x="36"/>
        <item x="62"/>
        <item x="45"/>
        <item x="84"/>
        <item x="17"/>
        <item x="89"/>
        <item x="38"/>
        <item x="100"/>
        <item x="49"/>
        <item x="46"/>
        <item x="98"/>
        <item x="63"/>
        <item x="77"/>
        <item x="79"/>
        <item x="30"/>
        <item x="13"/>
        <item x="65"/>
        <item x="12"/>
        <item x="74"/>
        <item x="66"/>
        <item x="85"/>
        <item x="22"/>
        <item x="7"/>
        <item x="44"/>
        <item x="61"/>
        <item x="103"/>
        <item x="71"/>
        <item x="78"/>
        <item x="3"/>
        <item x="26"/>
        <item x="82"/>
        <item x="6"/>
        <item x="72"/>
        <item x="33"/>
        <item x="80"/>
        <item x="97"/>
        <item x="42"/>
        <item x="107"/>
        <item x="93"/>
        <item x="59"/>
        <item x="68"/>
        <item x="52"/>
        <item x="20"/>
        <item x="28"/>
        <item x="9"/>
        <item x="57"/>
        <item x="21"/>
        <item x="34"/>
        <item x="25"/>
        <item x="47"/>
        <item x="58"/>
        <item x="1"/>
        <item x="101"/>
        <item x="67"/>
        <item x="102"/>
        <item x="53"/>
        <item x="14"/>
        <item x="87"/>
        <item x="54"/>
        <item x="92"/>
        <item x="29"/>
        <item x="104"/>
        <item x="35"/>
        <item x="90"/>
        <item x="96"/>
        <item x="39"/>
        <item x="91"/>
        <item x="55"/>
        <item x="50"/>
        <item x="27"/>
        <item x="56"/>
        <item x="41"/>
        <item x="75"/>
        <item x="15"/>
        <item x="4"/>
        <item x="69"/>
        <item x="81"/>
        <item x="60"/>
        <item x="73"/>
        <item x="94"/>
        <item x="106"/>
        <item x="83"/>
        <item x="109"/>
        <item t="default"/>
      </items>
    </pivotField>
    <pivotField axis="axisRow" showAll="0" sortType="descending">
      <items count="8">
        <item x="2"/>
        <item x="5"/>
        <item x="0"/>
        <item x="1"/>
        <item x="3"/>
        <item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2">
        <item x="5"/>
        <item x="3"/>
        <item x="1"/>
        <item x="6"/>
        <item x="4"/>
        <item x="8"/>
        <item x="0"/>
        <item x="7"/>
        <item x="2"/>
        <item x="9"/>
        <item x="10"/>
        <item t="default"/>
      </items>
    </pivotField>
    <pivotField showAll="0"/>
    <pivotField showAll="0"/>
    <pivotField showAll="0">
      <items count="60">
        <item x="25"/>
        <item x="17"/>
        <item x="35"/>
        <item x="44"/>
        <item x="55"/>
        <item x="40"/>
        <item x="54"/>
        <item x="3"/>
        <item x="11"/>
        <item x="5"/>
        <item x="37"/>
        <item x="9"/>
        <item x="4"/>
        <item x="14"/>
        <item x="51"/>
        <item x="0"/>
        <item x="31"/>
        <item x="2"/>
        <item x="28"/>
        <item x="49"/>
        <item x="7"/>
        <item x="18"/>
        <item x="45"/>
        <item x="8"/>
        <item x="32"/>
        <item x="16"/>
        <item x="42"/>
        <item x="20"/>
        <item x="43"/>
        <item x="21"/>
        <item x="50"/>
        <item x="1"/>
        <item x="27"/>
        <item x="23"/>
        <item x="57"/>
        <item x="46"/>
        <item x="13"/>
        <item x="29"/>
        <item x="10"/>
        <item x="24"/>
        <item x="6"/>
        <item x="22"/>
        <item x="48"/>
        <item x="52"/>
        <item x="53"/>
        <item x="30"/>
        <item x="39"/>
        <item x="15"/>
        <item x="19"/>
        <item x="36"/>
        <item x="56"/>
        <item x="12"/>
        <item x="47"/>
        <item x="34"/>
        <item x="33"/>
        <item x="41"/>
        <item x="26"/>
        <item x="38"/>
        <item x="58"/>
        <item t="default"/>
      </items>
    </pivotField>
    <pivotField showAll="0"/>
    <pivotField showAll="0">
      <items count="4">
        <item x="0"/>
        <item x="1"/>
        <item x="2"/>
        <item t="default"/>
      </items>
    </pivotField>
    <pivotField showAll="0"/>
    <pivotField showAll="0">
      <items count="7">
        <item x="1"/>
        <item x="0"/>
        <item x="3"/>
        <item x="2"/>
        <item x="4"/>
        <item x="5"/>
        <item t="default"/>
      </items>
    </pivotField>
    <pivotField showAll="0"/>
    <pivotField showAll="0"/>
  </pivotFields>
  <rowFields count="1">
    <field x="4"/>
  </rowFields>
  <rowItems count="7">
    <i>
      <x v="2"/>
    </i>
    <i>
      <x v="5"/>
    </i>
    <i>
      <x v="4"/>
    </i>
    <i>
      <x v="3"/>
    </i>
    <i>
      <x v="1"/>
    </i>
    <i>
      <x/>
    </i>
    <i t="grand">
      <x/>
    </i>
  </rowItems>
  <colItems count="1">
    <i/>
  </colItems>
  <dataFields count="1">
    <dataField name="Count of Emp 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3F3EF9-1FD9-43E4-A4B0-2419F352D7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4:E20" firstHeaderRow="1" firstDataRow="1" firstDataCol="1"/>
  <pivotFields count="18">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8">
        <item x="2"/>
        <item x="5"/>
        <item x="0"/>
        <item x="1"/>
        <item x="3"/>
        <item x="4"/>
        <item h="1" x="6"/>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sortType="descending">
      <items count="7">
        <item x="1"/>
        <item x="0"/>
        <item x="3"/>
        <item x="2"/>
        <item x="4"/>
        <item x="5"/>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5"/>
  </rowFields>
  <rowItems count="6">
    <i>
      <x/>
    </i>
    <i>
      <x v="2"/>
    </i>
    <i>
      <x v="4"/>
    </i>
    <i>
      <x v="1"/>
    </i>
    <i>
      <x v="3"/>
    </i>
    <i t="grand">
      <x/>
    </i>
  </rowItems>
  <colItems count="1">
    <i/>
  </colItems>
  <dataFields count="1">
    <dataField name="Sum of Eligible Bonus Amount" fld="17" baseField="0" baseItem="0"/>
  </dataFields>
  <formats count="1">
    <format dxfId="43">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DF35B4-6903-4039-BD47-2A71857E37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6:G27" firstHeaderRow="1" firstDataRow="1" firstDataCol="0"/>
  <pivotFields count="18">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8">
        <item x="2"/>
        <item x="5"/>
        <item x="0"/>
        <item x="1"/>
        <item x="3"/>
        <item x="4"/>
        <item h="1" x="6"/>
        <item t="default"/>
      </items>
    </pivotField>
    <pivotField showAll="0"/>
    <pivotField showAll="0"/>
    <pivotField showAll="0"/>
    <pivotField dataField="1" showAll="0">
      <items count="12">
        <item x="5"/>
        <item x="3"/>
        <item x="1"/>
        <item x="6"/>
        <item x="4"/>
        <item x="8"/>
        <item x="0"/>
        <item x="7"/>
        <item x="2"/>
        <item x="9"/>
        <item h="1" x="10"/>
        <item t="default"/>
      </items>
    </pivotField>
    <pivotField showAll="0"/>
    <pivotField showAll="0"/>
    <pivotField showAll="0"/>
    <pivotField showAll="0"/>
    <pivotField showAll="0">
      <items count="4">
        <item x="0"/>
        <item x="1"/>
        <item x="2"/>
        <item t="default"/>
      </items>
    </pivotField>
    <pivotField showAll="0"/>
    <pivotField showAll="0">
      <items count="7">
        <item x="1"/>
        <item x="0"/>
        <item x="3"/>
        <item x="2"/>
        <item x="4"/>
        <item x="5"/>
        <item t="default"/>
      </items>
    </pivotField>
    <pivotField showAll="0"/>
    <pivotField showAll="0"/>
  </pivotFields>
  <rowItems count="1">
    <i/>
  </rowItems>
  <colItems count="1">
    <i/>
  </colItems>
  <dataFields count="1">
    <dataField name="Average of Year of Service" fld="8" subtotal="average"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564875-C9AD-443B-A4B5-F92308CDD5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4:J21" firstHeaderRow="1" firstDataRow="2" firstDataCol="1"/>
  <pivotFields count="18">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8">
        <item x="2"/>
        <item x="5"/>
        <item x="0"/>
        <item x="1"/>
        <item x="3"/>
        <item x="4"/>
        <item h="1" x="6"/>
        <item t="default"/>
      </items>
    </pivotField>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axis="axisRow" showAll="0">
      <items count="7">
        <item x="1"/>
        <item x="0"/>
        <item x="3"/>
        <item x="2"/>
        <item x="4"/>
        <item x="5"/>
        <item t="default"/>
      </items>
    </pivotField>
    <pivotField showAll="0"/>
    <pivotField showAll="0"/>
  </pivotFields>
  <rowFields count="1">
    <field x="15"/>
  </rowFields>
  <rowItems count="6">
    <i>
      <x/>
    </i>
    <i>
      <x v="1"/>
    </i>
    <i>
      <x v="2"/>
    </i>
    <i>
      <x v="3"/>
    </i>
    <i>
      <x v="4"/>
    </i>
    <i t="grand">
      <x/>
    </i>
  </rowItems>
  <colFields count="1">
    <field x="13"/>
  </colFields>
  <colItems count="3">
    <i>
      <x/>
    </i>
    <i>
      <x v="1"/>
    </i>
    <i t="grand">
      <x/>
    </i>
  </colItems>
  <dataFields count="1">
    <dataField name="Count of Emp ID" fld="0" subtotal="count" showDataAs="percentOfRow" baseField="0" baseItem="0" numFmtId="10"/>
  </dataFields>
  <formats count="2">
    <format dxfId="40">
      <pivotArea outline="0" collapsedLevelsAreSubtotals="1" fieldPosition="0"/>
    </format>
    <format dxfId="41">
      <pivotArea outline="0" fieldPosition="0">
        <references count="1">
          <reference field="4294967294" count="1">
            <x v="0"/>
          </reference>
        </references>
      </pivotArea>
    </format>
  </formats>
  <chartFormats count="4">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2">
          <reference field="4294967294" count="1" selected="0">
            <x v="0"/>
          </reference>
          <reference field="13" count="1" selected="0">
            <x v="0"/>
          </reference>
        </references>
      </pivotArea>
    </chartFormat>
    <chartFormat chart="6"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AD64DE17-2558-4A76-B240-1A5C1F5EEBFC}" sourceName="Emp ID">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477755298">
      <items count="151">
        <i x="66" s="1"/>
        <i x="136" s="1"/>
        <i x="121" s="1"/>
        <i x="113" s="1"/>
        <i x="56" s="1"/>
        <i x="91" s="1"/>
        <i x="118" s="1"/>
        <i x="100" s="1"/>
        <i x="109" s="1"/>
        <i x="22" s="1"/>
        <i x="63" s="1"/>
        <i x="48" s="1"/>
        <i x="21" s="1"/>
        <i x="110" s="1"/>
        <i x="29" s="1"/>
        <i x="12" s="1"/>
        <i x="61" s="1"/>
        <i x="114" s="1"/>
        <i x="20" s="1"/>
        <i x="10" s="1"/>
        <i x="145" s="1"/>
        <i x="131" s="1"/>
        <i x="45" s="1"/>
        <i x="74" s="1"/>
        <i x="14" s="1"/>
        <i x="73" s="1"/>
        <i x="39" s="1"/>
        <i x="52" s="1"/>
        <i x="71" s="1"/>
        <i x="5" s="1"/>
        <i x="15" s="1"/>
        <i x="23" s="1"/>
        <i x="57" s="1"/>
        <i x="84" s="1"/>
        <i x="98" s="1"/>
        <i x="95" s="1"/>
        <i x="43" s="1"/>
        <i x="134" s="1"/>
        <i x="115" s="1"/>
        <i x="76" s="1"/>
        <i x="72" s="1"/>
        <i x="55" s="1"/>
        <i x="36" s="1"/>
        <i x="101" s="1"/>
        <i x="69" s="1"/>
        <i x="1" s="1"/>
        <i x="99" s="1"/>
        <i x="80" s="1"/>
        <i x="129" s="1"/>
        <i x="94" s="1"/>
        <i x="127" s="1"/>
        <i x="25" s="1"/>
        <i x="137" s="1"/>
        <i x="90" s="1"/>
        <i x="125" s="1"/>
        <i x="32" s="1"/>
        <i x="11" s="1"/>
        <i x="132" s="1"/>
        <i x="128" s="1"/>
        <i x="111" s="1"/>
        <i x="58" s="1"/>
        <i x="82" s="1"/>
        <i x="87" s="1"/>
        <i x="123" s="1"/>
        <i x="68" s="1"/>
        <i x="18" s="1"/>
        <i x="60" s="1"/>
        <i x="37" s="1"/>
        <i x="50" s="1"/>
        <i x="13" s="1"/>
        <i x="102" s="1"/>
        <i x="146" s="1"/>
        <i x="116" s="1"/>
        <i x="83" s="1"/>
        <i x="143" s="1"/>
        <i x="30" s="1"/>
        <i x="44" s="1"/>
        <i x="97" s="1"/>
        <i x="41" s="1"/>
        <i x="49" s="1"/>
        <i x="96" s="1"/>
        <i x="24" s="1"/>
        <i x="70" s="1"/>
        <i x="105" s="1"/>
        <i x="34" s="1"/>
        <i x="77" s="1"/>
        <i x="53" s="1"/>
        <i x="142" s="1"/>
        <i x="130" s="1"/>
        <i x="108" s="1"/>
        <i x="64" s="1"/>
        <i x="104" s="1"/>
        <i x="148" s="1"/>
        <i x="88" s="1"/>
        <i x="8" s="1"/>
        <i x="6" s="1"/>
        <i x="89" s="1"/>
        <i x="7" s="1"/>
        <i x="28" s="1"/>
        <i x="140" s="1"/>
        <i x="120" s="1"/>
        <i x="59" s="1"/>
        <i x="149" s="1"/>
        <i x="139" s="1"/>
        <i x="85" s="1"/>
        <i x="35" s="1"/>
        <i x="147" s="1"/>
        <i x="126" s="1"/>
        <i x="17" s="1"/>
        <i x="92" s="1"/>
        <i x="75" s="1"/>
        <i x="4" s="1"/>
        <i x="67" s="1"/>
        <i x="81" s="1"/>
        <i x="103" s="1"/>
        <i x="124" s="1"/>
        <i x="141" s="1"/>
        <i x="86" s="1"/>
        <i x="54" s="1"/>
        <i x="19" s="1"/>
        <i x="122" s="1"/>
        <i x="144" s="1"/>
        <i x="62" s="1"/>
        <i x="78" s="1"/>
        <i x="33" s="1"/>
        <i x="16" s="1"/>
        <i x="0" s="1"/>
        <i x="38" s="1"/>
        <i x="26" s="1"/>
        <i x="133" s="1"/>
        <i x="138" s="1"/>
        <i x="79" s="1"/>
        <i x="46" s="1"/>
        <i x="2" s="1"/>
        <i x="112" s="1"/>
        <i x="40" s="1"/>
        <i x="31" s="1"/>
        <i x="117" s="1"/>
        <i x="3" s="1"/>
        <i x="9" s="1"/>
        <i x="47" s="1"/>
        <i x="106" s="1"/>
        <i x="107" s="1"/>
        <i x="119" s="1"/>
        <i x="65" s="1"/>
        <i x="27" s="1"/>
        <i x="93" s="1"/>
        <i x="135" s="1"/>
        <i x="42" s="1"/>
        <i x="51" s="1"/>
        <i x="15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786AF717-E6CC-465A-BAB2-CCB58DE2FB7B}" sourceName="Performance Band">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477755298">
      <items count="6">
        <i x="1" s="1"/>
        <i x="0" s="1"/>
        <i x="3" s="1"/>
        <i x="2"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3" xr10:uid="{85912FDF-21D3-4E59-80EC-6B0882C0712B}" sourceName="Employment Status3">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 tabId="6" name="PivotTable9"/>
  </pivotTables>
  <data>
    <tabular pivotCacheId="1477755298">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54E692AF-7D46-49C5-908D-0176DC84487F}" sourceName="Department Nam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477755298">
      <items count="7">
        <i x="2" s="1"/>
        <i x="5" s="1"/>
        <i x="0" s="1"/>
        <i x="1" s="1"/>
        <i x="3" s="1"/>
        <i x="4" s="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 ID 1" xr10:uid="{41BB35AD-34C5-408C-8539-26E087B901FF}" cache="Slicer_Emp_ID" caption="Emp ID" style="Slicer Style 1" rowHeight="241300"/>
  <slicer name="Performance Band 1" xr10:uid="{F86AF36E-7AC3-4235-8BBA-1CF63C949F81}" cache="Slicer_Performance_Band" caption="Performance Band" style="Slicer Style 1" rowHeight="241300"/>
  <slicer name="Employment Status3 1" xr10:uid="{3A138CF2-9890-4CA9-AADF-91E42D53B86B}" cache="Slicer_Employment_Status3" caption="Employment Status3" style="Slicer Style 1" rowHeight="241300"/>
  <slicer name="Department Name 1" xr10:uid="{9C6F8EBB-2DF9-40E2-8CD7-036DC48E64F3}" cache="Slicer_Department_Name" caption="Department Name" style="Slicer Style 1"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FF304A-96B1-48C9-A92B-9BC3ACA2C440}" name="Employee_Data" displayName="Employee_Data" ref="A1:Q151" totalsRowShown="0" headerRowDxfId="56" headerRowCellStyle="Percent">
  <autoFilter ref="A1:Q151" xr:uid="{BFFF304A-96B1-48C9-A92B-9BC3ACA2C440}"/>
  <tableColumns count="17">
    <tableColumn id="1" xr3:uid="{C05CDAA8-A5A4-45B3-B7BB-9B8FD3AAA3A7}" name="Emp ID"/>
    <tableColumn id="2" xr3:uid="{A369748A-8D63-41DB-8003-85DD9424EC25}" name="First_Name"/>
    <tableColumn id="3" xr3:uid="{6BD66466-F970-4B44-A82F-4CA903F32C15}" name="Last_Name"/>
    <tableColumn id="4" xr3:uid="{FAE3B181-0EB8-4493-AB45-44FE05FFA4DE}" name="Full Name">
      <calculatedColumnFormula>IF(AND(ISBLANK(B2), ISBLANK(C2)), "- -", IF(ISBLANK(B2), "- " &amp; TRIM(PROPER(C2)), IF(ISBLANK(C2), TRIM(PROPER(B2)) &amp; " -", _xlfn.TEXTJOIN(" ", TRUE, TRIM(PROPER(B2)), TRIM(PROPER(C2))))))</calculatedColumnFormula>
    </tableColumn>
    <tableColumn id="5" xr3:uid="{B2F21806-4AC9-4653-A50D-96F6A9B6968B}" name="Department Name">
      <calculatedColumnFormula>_xlfn.XLOOKUP(F2, Lookup_Departments!$A$2:$A$7, Lookup_Departments!$B$2:$B$7, "Unknown")</calculatedColumnFormula>
    </tableColumn>
    <tableColumn id="6" xr3:uid="{AA0E1CA5-A06E-4E84-81C6-C3A5C86EEF7F}" name="Department Code">
      <calculatedColumnFormula>UPPER(TRIM(G2))</calculatedColumnFormula>
    </tableColumn>
    <tableColumn id="7" xr3:uid="{B7A897E0-76E3-4149-B1CF-508369E61F8B}" name="Dept Code"/>
    <tableColumn id="8" xr3:uid="{F7B0B6A3-D1A6-4C96-9EBD-5F3494D1C7F8}" name="Hire Date" dataDxfId="55">
      <calculatedColumnFormula>DATEVALUE(TEXT(J2, "dd-mmm-yyyy"))</calculatedColumnFormula>
    </tableColumn>
    <tableColumn id="9" xr3:uid="{FE4467AD-A3E8-474F-AE81-E68EB8FC1266}" name="Year of Service" dataDxfId="54">
      <calculatedColumnFormula>DATEDIF(H2, TODAY(), "Y")</calculatedColumnFormula>
    </tableColumn>
    <tableColumn id="10" xr3:uid="{361ED250-91DE-4B03-8ABA-1AADB309E8C3}" name="Hire Date2" dataDxfId="53"/>
    <tableColumn id="11" xr3:uid="{1D53EA6A-944B-496E-964E-4AC22E1CE0A5}" name="Salary" dataDxfId="52"/>
    <tableColumn id="12" xr3:uid="{50A9218A-4864-4923-8F0E-560C71A3B372}" name="Performance Score"/>
    <tableColumn id="13" xr3:uid="{99FA37C4-4B24-46BB-A9E5-B1AC643C9D8F}" name="Employment Status"/>
    <tableColumn id="14" xr3:uid="{8DA6DEBC-FA56-4AF4-9E54-3CBB6FEF345C}" name="Employment _Status">
      <calculatedColumnFormula array="1">_xlfn.SWITCH(TRIM(PROPER(M2)), "Active", "Active", "Actv", "Active", "Left", "Left", "Resigned", "Left", "Unknown")</calculatedColumnFormula>
    </tableColumn>
    <tableColumn id="16" xr3:uid="{60A13F51-1FB0-4BC8-906E-CFFD322350E8}" name="Performance Band">
      <calculatedColumnFormula>_xlfn.XLOOKUP(L2, Lookup_Performance!$A$2:$A$6, Lookup_Performance!$C$2:$C$6, "No Score", -1)</calculatedColumnFormula>
    </tableColumn>
    <tableColumn id="17" xr3:uid="{74BE990A-1F8A-4185-BD7A-819B072F4F38}" name="Bonus Percentage" dataDxfId="51" dataCellStyle="Percent">
      <calculatedColumnFormula>_xlfn.XLOOKUP(L2, Lookup_Performance!$A$2:$A$6, Lookup_Performance!$D$2:$D$6, 0, -1)</calculatedColumnFormula>
    </tableColumn>
    <tableColumn id="18" xr3:uid="{4C999912-4850-4145-9872-BB94B95B4C7C}" name="Eligible Bonus Amount" dataDxfId="50">
      <calculatedColumnFormula>K2*P2</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H151"/>
  <sheetViews>
    <sheetView workbookViewId="0">
      <selection activeCell="I1" sqref="I1:I1048576"/>
    </sheetView>
  </sheetViews>
  <sheetFormatPr defaultRowHeight="15" x14ac:dyDescent="0.25"/>
  <cols>
    <col min="1" max="1" width="7.85546875" bestFit="1" customWidth="1"/>
    <col min="2" max="2" width="20.7109375" customWidth="1"/>
    <col min="3" max="3" width="10.7109375" customWidth="1"/>
    <col min="4" max="4" width="10.28515625" customWidth="1"/>
    <col min="5" max="5" width="29.28515625" style="3" customWidth="1"/>
    <col min="6" max="6" width="11.140625" style="14" bestFit="1" customWidth="1"/>
    <col min="7" max="7" width="18" bestFit="1" customWidth="1"/>
    <col min="8" max="8" width="17.28515625" customWidth="1"/>
  </cols>
  <sheetData>
    <row r="1" spans="1:8" s="9" customFormat="1" x14ac:dyDescent="0.25">
      <c r="A1" s="5" t="s">
        <v>0</v>
      </c>
      <c r="B1" s="5" t="s">
        <v>1</v>
      </c>
      <c r="C1" s="5" t="s">
        <v>2</v>
      </c>
      <c r="D1" s="5" t="s">
        <v>3</v>
      </c>
      <c r="E1" s="6" t="s">
        <v>4</v>
      </c>
      <c r="F1" s="13" t="s">
        <v>5</v>
      </c>
      <c r="G1" s="5" t="s">
        <v>282</v>
      </c>
      <c r="H1" s="5" t="s">
        <v>6</v>
      </c>
    </row>
    <row r="2" spans="1:8" x14ac:dyDescent="0.25">
      <c r="A2" t="s">
        <v>7</v>
      </c>
      <c r="B2" t="s">
        <v>8</v>
      </c>
      <c r="C2" t="s">
        <v>9</v>
      </c>
      <c r="D2" t="s">
        <v>10</v>
      </c>
      <c r="E2" s="3">
        <v>43093</v>
      </c>
      <c r="F2" s="14">
        <v>50361</v>
      </c>
      <c r="G2">
        <v>52</v>
      </c>
      <c r="H2" t="s">
        <v>11</v>
      </c>
    </row>
    <row r="3" spans="1:8" x14ac:dyDescent="0.25">
      <c r="A3" t="s">
        <v>12</v>
      </c>
      <c r="B3" t="s">
        <v>13</v>
      </c>
      <c r="C3" t="s">
        <v>14</v>
      </c>
      <c r="D3" t="s">
        <v>15</v>
      </c>
      <c r="E3" s="3">
        <v>44659</v>
      </c>
      <c r="F3" s="14">
        <v>112673</v>
      </c>
      <c r="G3">
        <v>70</v>
      </c>
      <c r="H3" t="s">
        <v>16</v>
      </c>
    </row>
    <row r="4" spans="1:8" x14ac:dyDescent="0.25">
      <c r="A4" t="s">
        <v>17</v>
      </c>
      <c r="B4" t="s">
        <v>8</v>
      </c>
      <c r="C4" t="s">
        <v>18</v>
      </c>
      <c r="D4" t="s">
        <v>19</v>
      </c>
      <c r="E4" s="3">
        <v>42431</v>
      </c>
      <c r="F4" s="14">
        <v>114425</v>
      </c>
      <c r="G4">
        <v>54</v>
      </c>
      <c r="H4" t="s">
        <v>20</v>
      </c>
    </row>
    <row r="5" spans="1:8" x14ac:dyDescent="0.25">
      <c r="A5" t="s">
        <v>21</v>
      </c>
      <c r="B5" t="s">
        <v>22</v>
      </c>
      <c r="C5" t="s">
        <v>23</v>
      </c>
      <c r="D5" t="s">
        <v>24</v>
      </c>
      <c r="E5" s="3">
        <v>45110</v>
      </c>
      <c r="F5" s="14">
        <v>103831</v>
      </c>
      <c r="G5">
        <v>70</v>
      </c>
      <c r="H5" t="s">
        <v>11</v>
      </c>
    </row>
    <row r="6" spans="1:8" x14ac:dyDescent="0.25">
      <c r="A6" t="s">
        <v>25</v>
      </c>
      <c r="B6" t="s">
        <v>26</v>
      </c>
      <c r="C6" t="s">
        <v>27</v>
      </c>
      <c r="D6" t="s">
        <v>10</v>
      </c>
      <c r="E6" s="3">
        <v>44977</v>
      </c>
      <c r="F6" s="14">
        <v>73785</v>
      </c>
      <c r="G6">
        <v>40</v>
      </c>
      <c r="H6" t="s">
        <v>28</v>
      </c>
    </row>
    <row r="7" spans="1:8" x14ac:dyDescent="0.25">
      <c r="A7" t="s">
        <v>29</v>
      </c>
      <c r="B7" t="s">
        <v>8</v>
      </c>
      <c r="C7" t="s">
        <v>30</v>
      </c>
      <c r="D7" t="s">
        <v>31</v>
      </c>
      <c r="E7" s="3" t="s">
        <v>32</v>
      </c>
      <c r="F7" s="14">
        <v>115882</v>
      </c>
      <c r="G7">
        <v>49</v>
      </c>
      <c r="H7" t="s">
        <v>16</v>
      </c>
    </row>
    <row r="8" spans="1:8" x14ac:dyDescent="0.25">
      <c r="A8" t="s">
        <v>33</v>
      </c>
      <c r="B8" t="s">
        <v>22</v>
      </c>
      <c r="C8" t="s">
        <v>34</v>
      </c>
      <c r="D8" t="s">
        <v>35</v>
      </c>
      <c r="E8" s="3">
        <v>45272</v>
      </c>
      <c r="F8" s="14">
        <v>59980</v>
      </c>
      <c r="G8">
        <v>70</v>
      </c>
      <c r="H8" t="s">
        <v>28</v>
      </c>
    </row>
    <row r="9" spans="1:8" x14ac:dyDescent="0.25">
      <c r="A9" t="s">
        <v>36</v>
      </c>
      <c r="B9" t="s">
        <v>37</v>
      </c>
      <c r="C9" t="s">
        <v>27</v>
      </c>
      <c r="D9" t="s">
        <v>35</v>
      </c>
      <c r="E9" s="3">
        <v>44174</v>
      </c>
      <c r="F9" s="14">
        <v>68728</v>
      </c>
      <c r="G9">
        <v>45</v>
      </c>
      <c r="H9" t="s">
        <v>16</v>
      </c>
    </row>
    <row r="10" spans="1:8" x14ac:dyDescent="0.25">
      <c r="A10" t="s">
        <v>38</v>
      </c>
      <c r="C10" t="s">
        <v>39</v>
      </c>
      <c r="D10" t="s">
        <v>24</v>
      </c>
      <c r="E10" s="3">
        <v>43107</v>
      </c>
      <c r="F10" s="14">
        <v>102139</v>
      </c>
      <c r="G10">
        <v>79</v>
      </c>
      <c r="H10" t="s">
        <v>11</v>
      </c>
    </row>
    <row r="11" spans="1:8" x14ac:dyDescent="0.25">
      <c r="A11" t="s">
        <v>40</v>
      </c>
      <c r="B11" t="s">
        <v>41</v>
      </c>
      <c r="C11" t="s">
        <v>23</v>
      </c>
      <c r="D11" t="s">
        <v>42</v>
      </c>
      <c r="E11" s="3">
        <v>42676</v>
      </c>
      <c r="F11" s="14">
        <v>94998</v>
      </c>
      <c r="G11">
        <v>58</v>
      </c>
      <c r="H11" t="s">
        <v>43</v>
      </c>
    </row>
    <row r="12" spans="1:8" x14ac:dyDescent="0.25">
      <c r="A12" t="s">
        <v>44</v>
      </c>
      <c r="B12" t="s">
        <v>8</v>
      </c>
      <c r="C12" t="s">
        <v>45</v>
      </c>
      <c r="D12" t="s">
        <v>46</v>
      </c>
      <c r="E12" s="3">
        <v>43911</v>
      </c>
      <c r="F12" s="14">
        <v>118635</v>
      </c>
      <c r="G12">
        <v>49</v>
      </c>
      <c r="H12" t="s">
        <v>43</v>
      </c>
    </row>
    <row r="13" spans="1:8" x14ac:dyDescent="0.25">
      <c r="A13" t="s">
        <v>47</v>
      </c>
      <c r="B13" t="s">
        <v>8</v>
      </c>
      <c r="C13" t="s">
        <v>14</v>
      </c>
      <c r="D13" t="s">
        <v>10</v>
      </c>
      <c r="E13" s="3">
        <v>42425</v>
      </c>
      <c r="F13" s="14">
        <v>76918</v>
      </c>
      <c r="G13">
        <v>62</v>
      </c>
      <c r="H13" t="s">
        <v>48</v>
      </c>
    </row>
    <row r="14" spans="1:8" x14ac:dyDescent="0.25">
      <c r="A14" t="s">
        <v>49</v>
      </c>
      <c r="B14" t="s">
        <v>50</v>
      </c>
      <c r="C14" t="s">
        <v>51</v>
      </c>
      <c r="D14" t="s">
        <v>52</v>
      </c>
      <c r="E14" s="3" t="s">
        <v>53</v>
      </c>
      <c r="F14" s="14">
        <v>61408</v>
      </c>
      <c r="G14">
        <v>48</v>
      </c>
      <c r="H14" t="s">
        <v>16</v>
      </c>
    </row>
    <row r="15" spans="1:8" x14ac:dyDescent="0.25">
      <c r="A15" t="s">
        <v>54</v>
      </c>
      <c r="B15" t="s">
        <v>50</v>
      </c>
      <c r="C15" t="s">
        <v>45</v>
      </c>
      <c r="D15" t="s">
        <v>15</v>
      </c>
      <c r="E15" s="3">
        <v>44001</v>
      </c>
      <c r="F15" s="14">
        <v>99990</v>
      </c>
      <c r="G15">
        <v>54</v>
      </c>
      <c r="H15" t="s">
        <v>48</v>
      </c>
    </row>
    <row r="16" spans="1:8" x14ac:dyDescent="0.25">
      <c r="A16" t="s">
        <v>55</v>
      </c>
      <c r="B16" t="s">
        <v>56</v>
      </c>
      <c r="C16" t="s">
        <v>57</v>
      </c>
      <c r="D16" t="s">
        <v>58</v>
      </c>
      <c r="E16" s="3">
        <v>43820</v>
      </c>
      <c r="F16" s="14">
        <v>80385</v>
      </c>
      <c r="G16">
        <v>70</v>
      </c>
      <c r="H16" t="s">
        <v>11</v>
      </c>
    </row>
    <row r="17" spans="1:8" x14ac:dyDescent="0.25">
      <c r="A17" t="s">
        <v>59</v>
      </c>
      <c r="B17" t="s">
        <v>26</v>
      </c>
      <c r="C17" t="s">
        <v>39</v>
      </c>
      <c r="D17" t="s">
        <v>42</v>
      </c>
      <c r="E17" s="3">
        <v>45169</v>
      </c>
      <c r="F17" s="14">
        <v>65290</v>
      </c>
      <c r="G17">
        <v>77</v>
      </c>
      <c r="H17" t="s">
        <v>11</v>
      </c>
    </row>
    <row r="18" spans="1:8" x14ac:dyDescent="0.25">
      <c r="A18" t="s">
        <v>60</v>
      </c>
      <c r="B18" t="s">
        <v>8</v>
      </c>
      <c r="C18" t="s">
        <v>61</v>
      </c>
      <c r="D18" t="s">
        <v>10</v>
      </c>
      <c r="E18" s="3">
        <v>42337</v>
      </c>
      <c r="F18" s="14">
        <v>105765</v>
      </c>
      <c r="G18">
        <v>42</v>
      </c>
      <c r="H18" t="s">
        <v>43</v>
      </c>
    </row>
    <row r="19" spans="1:8" x14ac:dyDescent="0.25">
      <c r="A19" t="s">
        <v>62</v>
      </c>
      <c r="B19" t="s">
        <v>63</v>
      </c>
      <c r="C19" t="s">
        <v>23</v>
      </c>
      <c r="D19" t="s">
        <v>42</v>
      </c>
      <c r="E19" s="3">
        <v>42899</v>
      </c>
      <c r="F19" s="14">
        <v>102921</v>
      </c>
      <c r="G19">
        <v>49</v>
      </c>
      <c r="H19" t="s">
        <v>16</v>
      </c>
    </row>
    <row r="20" spans="1:8" x14ac:dyDescent="0.25">
      <c r="A20" t="s">
        <v>64</v>
      </c>
      <c r="B20" t="s">
        <v>65</v>
      </c>
      <c r="C20" t="s">
        <v>66</v>
      </c>
      <c r="D20" t="s">
        <v>15</v>
      </c>
      <c r="E20" s="3">
        <v>43235</v>
      </c>
      <c r="F20" s="14">
        <v>73984</v>
      </c>
      <c r="G20">
        <v>93</v>
      </c>
      <c r="H20" t="s">
        <v>48</v>
      </c>
    </row>
    <row r="21" spans="1:8" x14ac:dyDescent="0.25">
      <c r="A21" t="s">
        <v>67</v>
      </c>
      <c r="B21" t="s">
        <v>68</v>
      </c>
      <c r="C21" t="s">
        <v>18</v>
      </c>
      <c r="D21" t="s">
        <v>10</v>
      </c>
      <c r="E21" s="3">
        <v>42575</v>
      </c>
      <c r="F21" s="14">
        <v>83604</v>
      </c>
      <c r="G21">
        <v>75</v>
      </c>
      <c r="H21" t="s">
        <v>48</v>
      </c>
    </row>
    <row r="22" spans="1:8" x14ac:dyDescent="0.25">
      <c r="A22" t="s">
        <v>69</v>
      </c>
      <c r="B22" t="s">
        <v>41</v>
      </c>
      <c r="C22" t="s">
        <v>14</v>
      </c>
      <c r="D22" t="s">
        <v>24</v>
      </c>
      <c r="E22" s="3">
        <v>43076</v>
      </c>
      <c r="F22" s="14">
        <v>118527</v>
      </c>
      <c r="G22">
        <v>50</v>
      </c>
      <c r="H22" t="s">
        <v>48</v>
      </c>
    </row>
    <row r="23" spans="1:8" x14ac:dyDescent="0.25">
      <c r="A23" t="s">
        <v>70</v>
      </c>
      <c r="B23" t="s">
        <v>13</v>
      </c>
      <c r="C23" t="s">
        <v>14</v>
      </c>
      <c r="D23" t="s">
        <v>15</v>
      </c>
      <c r="E23" s="3">
        <v>44353</v>
      </c>
      <c r="F23" s="14">
        <v>107871</v>
      </c>
      <c r="G23">
        <v>88</v>
      </c>
      <c r="H23" t="s">
        <v>11</v>
      </c>
    </row>
    <row r="24" spans="1:8" x14ac:dyDescent="0.25">
      <c r="A24" t="s">
        <v>71</v>
      </c>
      <c r="B24" t="s">
        <v>41</v>
      </c>
      <c r="C24" t="s">
        <v>39</v>
      </c>
      <c r="D24" t="s">
        <v>19</v>
      </c>
      <c r="E24" s="3">
        <v>44815</v>
      </c>
      <c r="F24" s="14">
        <v>93956</v>
      </c>
      <c r="G24">
        <v>50</v>
      </c>
      <c r="H24" t="s">
        <v>20</v>
      </c>
    </row>
    <row r="25" spans="1:8" x14ac:dyDescent="0.25">
      <c r="A25" t="s">
        <v>72</v>
      </c>
      <c r="B25" t="s">
        <v>37</v>
      </c>
      <c r="C25" t="s">
        <v>30</v>
      </c>
      <c r="D25" t="s">
        <v>73</v>
      </c>
      <c r="E25" s="3">
        <v>42565</v>
      </c>
      <c r="F25" s="14">
        <v>100851</v>
      </c>
      <c r="G25">
        <v>64</v>
      </c>
      <c r="H25" t="s">
        <v>16</v>
      </c>
    </row>
    <row r="26" spans="1:8" x14ac:dyDescent="0.25">
      <c r="A26" t="s">
        <v>74</v>
      </c>
      <c r="B26" t="s">
        <v>65</v>
      </c>
      <c r="C26" t="s">
        <v>51</v>
      </c>
      <c r="D26" t="s">
        <v>42</v>
      </c>
      <c r="E26" s="3">
        <v>44728</v>
      </c>
      <c r="F26" s="14">
        <v>68655</v>
      </c>
      <c r="G26">
        <v>32</v>
      </c>
      <c r="H26" t="s">
        <v>11</v>
      </c>
    </row>
    <row r="27" spans="1:8" x14ac:dyDescent="0.25">
      <c r="A27" t="s">
        <v>75</v>
      </c>
      <c r="C27" t="s">
        <v>51</v>
      </c>
      <c r="D27" t="s">
        <v>76</v>
      </c>
      <c r="E27" s="3">
        <v>45134</v>
      </c>
      <c r="F27" s="14">
        <v>81205</v>
      </c>
      <c r="G27">
        <v>59</v>
      </c>
      <c r="H27" t="s">
        <v>48</v>
      </c>
    </row>
    <row r="28" spans="1:8" x14ac:dyDescent="0.25">
      <c r="A28" t="s">
        <v>77</v>
      </c>
      <c r="B28" t="s">
        <v>22</v>
      </c>
      <c r="C28" t="s">
        <v>34</v>
      </c>
      <c r="D28" t="s">
        <v>42</v>
      </c>
      <c r="E28" s="3" t="s">
        <v>78</v>
      </c>
      <c r="F28" s="14">
        <v>77610</v>
      </c>
      <c r="G28">
        <v>88</v>
      </c>
      <c r="H28" t="s">
        <v>48</v>
      </c>
    </row>
    <row r="29" spans="1:8" x14ac:dyDescent="0.25">
      <c r="A29" t="s">
        <v>79</v>
      </c>
      <c r="B29" t="s">
        <v>26</v>
      </c>
      <c r="C29" t="s">
        <v>39</v>
      </c>
      <c r="D29" t="s">
        <v>80</v>
      </c>
      <c r="E29" s="3">
        <v>44765</v>
      </c>
      <c r="F29" s="14">
        <v>50873</v>
      </c>
      <c r="G29">
        <v>90</v>
      </c>
      <c r="H29" t="s">
        <v>43</v>
      </c>
    </row>
    <row r="30" spans="1:8" x14ac:dyDescent="0.25">
      <c r="A30" t="s">
        <v>81</v>
      </c>
      <c r="B30" t="s">
        <v>41</v>
      </c>
      <c r="C30" t="s">
        <v>34</v>
      </c>
      <c r="D30" t="s">
        <v>82</v>
      </c>
      <c r="E30" s="3" t="s">
        <v>83</v>
      </c>
      <c r="F30" s="14">
        <v>85312</v>
      </c>
      <c r="G30">
        <v>66</v>
      </c>
      <c r="H30" t="s">
        <v>11</v>
      </c>
    </row>
    <row r="31" spans="1:8" x14ac:dyDescent="0.25">
      <c r="A31" t="s">
        <v>84</v>
      </c>
      <c r="B31" t="s">
        <v>22</v>
      </c>
      <c r="C31" t="s">
        <v>39</v>
      </c>
      <c r="D31" t="s">
        <v>42</v>
      </c>
      <c r="E31" s="3">
        <v>42202</v>
      </c>
      <c r="F31" s="14">
        <v>83604</v>
      </c>
      <c r="G31">
        <v>68</v>
      </c>
      <c r="H31" t="s">
        <v>11</v>
      </c>
    </row>
    <row r="32" spans="1:8" x14ac:dyDescent="0.25">
      <c r="A32" t="s">
        <v>85</v>
      </c>
      <c r="B32" t="s">
        <v>26</v>
      </c>
      <c r="C32" t="s">
        <v>14</v>
      </c>
      <c r="D32" t="s">
        <v>31</v>
      </c>
      <c r="E32" s="3" t="s">
        <v>86</v>
      </c>
      <c r="F32" s="14">
        <v>97055</v>
      </c>
      <c r="G32">
        <v>80</v>
      </c>
      <c r="H32" t="s">
        <v>48</v>
      </c>
    </row>
    <row r="33" spans="1:8" x14ac:dyDescent="0.25">
      <c r="A33" t="s">
        <v>87</v>
      </c>
      <c r="B33" t="s">
        <v>41</v>
      </c>
      <c r="C33" t="s">
        <v>30</v>
      </c>
      <c r="D33" t="s">
        <v>10</v>
      </c>
      <c r="E33" s="3">
        <v>45195</v>
      </c>
      <c r="F33" s="14">
        <v>66069</v>
      </c>
      <c r="G33">
        <v>72</v>
      </c>
      <c r="H33" t="s">
        <v>48</v>
      </c>
    </row>
    <row r="34" spans="1:8" x14ac:dyDescent="0.25">
      <c r="A34" t="s">
        <v>88</v>
      </c>
      <c r="B34" t="s">
        <v>89</v>
      </c>
      <c r="C34" t="s">
        <v>9</v>
      </c>
      <c r="D34" t="s">
        <v>80</v>
      </c>
      <c r="E34" s="3" t="s">
        <v>90</v>
      </c>
      <c r="F34" s="14">
        <v>90157</v>
      </c>
      <c r="G34">
        <v>58</v>
      </c>
      <c r="H34" t="s">
        <v>11</v>
      </c>
    </row>
    <row r="35" spans="1:8" x14ac:dyDescent="0.25">
      <c r="A35" t="s">
        <v>91</v>
      </c>
      <c r="B35" t="s">
        <v>50</v>
      </c>
      <c r="C35" t="s">
        <v>23</v>
      </c>
      <c r="D35" t="s">
        <v>92</v>
      </c>
      <c r="E35" s="3">
        <v>44578</v>
      </c>
      <c r="F35" s="14">
        <v>59899</v>
      </c>
      <c r="G35">
        <v>78</v>
      </c>
      <c r="H35" t="s">
        <v>48</v>
      </c>
    </row>
    <row r="36" spans="1:8" x14ac:dyDescent="0.25">
      <c r="A36" t="s">
        <v>93</v>
      </c>
      <c r="B36" t="s">
        <v>8</v>
      </c>
      <c r="C36" t="s">
        <v>57</v>
      </c>
      <c r="D36" t="s">
        <v>73</v>
      </c>
      <c r="E36" s="3" t="s">
        <v>94</v>
      </c>
      <c r="F36" s="14">
        <v>113389</v>
      </c>
      <c r="G36">
        <v>30</v>
      </c>
      <c r="H36" t="s">
        <v>16</v>
      </c>
    </row>
    <row r="37" spans="1:8" x14ac:dyDescent="0.25">
      <c r="A37" t="s">
        <v>95</v>
      </c>
      <c r="C37" t="s">
        <v>9</v>
      </c>
      <c r="D37" t="s">
        <v>19</v>
      </c>
      <c r="E37" s="3" t="s">
        <v>96</v>
      </c>
      <c r="F37" s="14">
        <v>102691</v>
      </c>
      <c r="G37">
        <v>52</v>
      </c>
      <c r="H37" t="s">
        <v>43</v>
      </c>
    </row>
    <row r="38" spans="1:8" x14ac:dyDescent="0.25">
      <c r="A38" t="s">
        <v>97</v>
      </c>
      <c r="B38" t="s">
        <v>22</v>
      </c>
      <c r="C38" t="s">
        <v>34</v>
      </c>
      <c r="D38" t="s">
        <v>31</v>
      </c>
      <c r="E38" s="3" t="s">
        <v>98</v>
      </c>
      <c r="F38" s="14">
        <v>111845</v>
      </c>
      <c r="G38">
        <v>98</v>
      </c>
      <c r="H38" t="s">
        <v>11</v>
      </c>
    </row>
    <row r="39" spans="1:8" x14ac:dyDescent="0.25">
      <c r="A39" t="s">
        <v>99</v>
      </c>
      <c r="B39" t="s">
        <v>100</v>
      </c>
      <c r="C39" t="s">
        <v>9</v>
      </c>
      <c r="D39" t="s">
        <v>76</v>
      </c>
      <c r="E39" s="3" t="s">
        <v>101</v>
      </c>
      <c r="F39" s="14">
        <v>69219</v>
      </c>
      <c r="G39">
        <v>93</v>
      </c>
      <c r="H39" t="s">
        <v>48</v>
      </c>
    </row>
    <row r="40" spans="1:8" x14ac:dyDescent="0.25">
      <c r="A40" t="s">
        <v>102</v>
      </c>
      <c r="B40" t="s">
        <v>41</v>
      </c>
      <c r="C40" t="s">
        <v>27</v>
      </c>
      <c r="D40" t="s">
        <v>24</v>
      </c>
      <c r="E40" s="3">
        <v>43949</v>
      </c>
      <c r="F40" s="14">
        <v>83604</v>
      </c>
      <c r="G40">
        <v>80</v>
      </c>
      <c r="H40" t="s">
        <v>103</v>
      </c>
    </row>
    <row r="41" spans="1:8" x14ac:dyDescent="0.25">
      <c r="A41" t="s">
        <v>104</v>
      </c>
      <c r="B41" t="s">
        <v>89</v>
      </c>
      <c r="C41" t="s">
        <v>45</v>
      </c>
      <c r="D41" t="s">
        <v>31</v>
      </c>
      <c r="E41" s="3" t="s">
        <v>105</v>
      </c>
      <c r="F41" s="14">
        <v>57514</v>
      </c>
      <c r="G41">
        <v>70</v>
      </c>
      <c r="H41" t="s">
        <v>11</v>
      </c>
    </row>
    <row r="42" spans="1:8" x14ac:dyDescent="0.25">
      <c r="A42" t="s">
        <v>106</v>
      </c>
      <c r="B42" t="s">
        <v>8</v>
      </c>
      <c r="C42" t="s">
        <v>34</v>
      </c>
      <c r="D42" t="s">
        <v>42</v>
      </c>
      <c r="E42" s="3">
        <v>43181</v>
      </c>
      <c r="F42" s="14">
        <v>86245</v>
      </c>
      <c r="G42">
        <v>71</v>
      </c>
      <c r="H42" t="s">
        <v>20</v>
      </c>
    </row>
    <row r="43" spans="1:8" x14ac:dyDescent="0.25">
      <c r="A43" t="s">
        <v>107</v>
      </c>
      <c r="B43" t="s">
        <v>108</v>
      </c>
      <c r="C43" t="s">
        <v>14</v>
      </c>
      <c r="D43" t="s">
        <v>42</v>
      </c>
      <c r="E43" s="3">
        <v>43958</v>
      </c>
      <c r="F43" s="14">
        <v>52407</v>
      </c>
      <c r="G43">
        <v>55</v>
      </c>
      <c r="H43" t="s">
        <v>11</v>
      </c>
    </row>
    <row r="44" spans="1:8" x14ac:dyDescent="0.25">
      <c r="A44" t="s">
        <v>109</v>
      </c>
      <c r="B44" t="s">
        <v>63</v>
      </c>
      <c r="C44" t="s">
        <v>27</v>
      </c>
      <c r="D44" t="s">
        <v>35</v>
      </c>
      <c r="E44" s="3">
        <v>43549</v>
      </c>
      <c r="F44" s="14">
        <v>66606</v>
      </c>
      <c r="G44">
        <v>93</v>
      </c>
      <c r="H44" t="s">
        <v>110</v>
      </c>
    </row>
    <row r="45" spans="1:8" x14ac:dyDescent="0.25">
      <c r="A45" t="s">
        <v>111</v>
      </c>
      <c r="B45" t="s">
        <v>89</v>
      </c>
      <c r="C45" t="s">
        <v>51</v>
      </c>
      <c r="D45" t="s">
        <v>10</v>
      </c>
      <c r="E45" s="3">
        <v>43686</v>
      </c>
      <c r="F45" s="14">
        <v>81896</v>
      </c>
      <c r="G45">
        <v>79</v>
      </c>
      <c r="H45" t="s">
        <v>110</v>
      </c>
    </row>
    <row r="46" spans="1:8" x14ac:dyDescent="0.25">
      <c r="A46" t="s">
        <v>112</v>
      </c>
      <c r="B46" t="s">
        <v>68</v>
      </c>
      <c r="C46" t="s">
        <v>66</v>
      </c>
      <c r="D46" t="s">
        <v>42</v>
      </c>
      <c r="E46" s="3" t="s">
        <v>113</v>
      </c>
      <c r="F46" s="14">
        <v>78402</v>
      </c>
      <c r="G46">
        <v>54</v>
      </c>
      <c r="H46" t="s">
        <v>16</v>
      </c>
    </row>
    <row r="47" spans="1:8" x14ac:dyDescent="0.25">
      <c r="A47" t="s">
        <v>114</v>
      </c>
      <c r="B47" t="s">
        <v>26</v>
      </c>
      <c r="C47" t="s">
        <v>66</v>
      </c>
      <c r="D47" t="s">
        <v>35</v>
      </c>
      <c r="E47" s="3">
        <v>42647</v>
      </c>
      <c r="F47" s="14">
        <v>105498</v>
      </c>
      <c r="G47">
        <v>76</v>
      </c>
      <c r="H47" t="s">
        <v>11</v>
      </c>
    </row>
    <row r="48" spans="1:8" x14ac:dyDescent="0.25">
      <c r="A48" t="s">
        <v>115</v>
      </c>
      <c r="B48" t="s">
        <v>100</v>
      </c>
      <c r="C48" t="s">
        <v>30</v>
      </c>
      <c r="D48" t="s">
        <v>15</v>
      </c>
      <c r="E48" s="3" t="s">
        <v>116</v>
      </c>
      <c r="F48" s="14">
        <v>91749</v>
      </c>
      <c r="G48">
        <v>72</v>
      </c>
      <c r="H48" t="s">
        <v>103</v>
      </c>
    </row>
    <row r="49" spans="1:8" x14ac:dyDescent="0.25">
      <c r="A49" t="s">
        <v>117</v>
      </c>
      <c r="B49" t="s">
        <v>68</v>
      </c>
      <c r="C49" t="s">
        <v>30</v>
      </c>
      <c r="D49" t="s">
        <v>35</v>
      </c>
      <c r="E49" s="3">
        <v>44437</v>
      </c>
      <c r="F49" s="14">
        <v>99935</v>
      </c>
      <c r="G49">
        <v>84</v>
      </c>
      <c r="H49" t="s">
        <v>110</v>
      </c>
    </row>
    <row r="50" spans="1:8" x14ac:dyDescent="0.25">
      <c r="A50" t="s">
        <v>118</v>
      </c>
      <c r="B50" t="s">
        <v>22</v>
      </c>
      <c r="C50" t="s">
        <v>61</v>
      </c>
      <c r="D50" t="s">
        <v>19</v>
      </c>
      <c r="E50" s="3">
        <v>42761</v>
      </c>
      <c r="F50" s="14">
        <v>83531</v>
      </c>
      <c r="G50">
        <v>30</v>
      </c>
      <c r="H50" t="s">
        <v>103</v>
      </c>
    </row>
    <row r="51" spans="1:8" x14ac:dyDescent="0.25">
      <c r="A51" t="s">
        <v>119</v>
      </c>
      <c r="B51" t="s">
        <v>63</v>
      </c>
      <c r="C51" t="s">
        <v>30</v>
      </c>
      <c r="D51" t="s">
        <v>52</v>
      </c>
      <c r="E51" s="3">
        <v>43981</v>
      </c>
      <c r="F51" s="14">
        <v>75023</v>
      </c>
      <c r="G51">
        <v>70</v>
      </c>
      <c r="H51" t="s">
        <v>16</v>
      </c>
    </row>
    <row r="52" spans="1:8" x14ac:dyDescent="0.25">
      <c r="A52" t="s">
        <v>120</v>
      </c>
      <c r="B52" t="s">
        <v>50</v>
      </c>
      <c r="C52" t="s">
        <v>61</v>
      </c>
      <c r="D52" t="s">
        <v>92</v>
      </c>
      <c r="E52" s="3">
        <v>44612</v>
      </c>
      <c r="F52" s="14">
        <v>93290</v>
      </c>
      <c r="G52">
        <v>53</v>
      </c>
      <c r="H52" t="s">
        <v>16</v>
      </c>
    </row>
    <row r="53" spans="1:8" x14ac:dyDescent="0.25">
      <c r="A53" t="s">
        <v>121</v>
      </c>
      <c r="B53" t="s">
        <v>13</v>
      </c>
      <c r="C53" t="s">
        <v>61</v>
      </c>
      <c r="D53" t="s">
        <v>31</v>
      </c>
      <c r="E53" s="3">
        <v>42628</v>
      </c>
      <c r="F53" s="14">
        <v>115527</v>
      </c>
      <c r="G53">
        <v>63</v>
      </c>
      <c r="H53" t="s">
        <v>110</v>
      </c>
    </row>
    <row r="54" spans="1:8" x14ac:dyDescent="0.25">
      <c r="A54" t="s">
        <v>122</v>
      </c>
      <c r="B54" t="s">
        <v>26</v>
      </c>
      <c r="C54" t="s">
        <v>39</v>
      </c>
      <c r="D54" t="s">
        <v>73</v>
      </c>
      <c r="E54" s="3" t="s">
        <v>123</v>
      </c>
      <c r="F54" s="14">
        <v>55920</v>
      </c>
      <c r="G54">
        <v>84</v>
      </c>
      <c r="H54" t="s">
        <v>48</v>
      </c>
    </row>
    <row r="55" spans="1:8" x14ac:dyDescent="0.25">
      <c r="A55" t="s">
        <v>124</v>
      </c>
      <c r="B55" t="s">
        <v>8</v>
      </c>
      <c r="C55" t="s">
        <v>30</v>
      </c>
      <c r="D55" t="s">
        <v>42</v>
      </c>
      <c r="E55" s="3">
        <v>43464</v>
      </c>
      <c r="F55" s="14">
        <v>80189</v>
      </c>
      <c r="G55">
        <v>30</v>
      </c>
      <c r="H55" t="s">
        <v>43</v>
      </c>
    </row>
    <row r="56" spans="1:8" x14ac:dyDescent="0.25">
      <c r="A56" t="s">
        <v>125</v>
      </c>
      <c r="B56" t="s">
        <v>8</v>
      </c>
      <c r="C56" t="s">
        <v>126</v>
      </c>
      <c r="D56" t="s">
        <v>92</v>
      </c>
      <c r="E56" s="3">
        <v>44189</v>
      </c>
      <c r="F56" s="14">
        <v>118947</v>
      </c>
      <c r="G56">
        <v>96</v>
      </c>
      <c r="H56" t="s">
        <v>11</v>
      </c>
    </row>
    <row r="57" spans="1:8" x14ac:dyDescent="0.25">
      <c r="A57" t="s">
        <v>127</v>
      </c>
      <c r="B57" t="s">
        <v>50</v>
      </c>
      <c r="C57" t="s">
        <v>128</v>
      </c>
      <c r="D57" t="s">
        <v>10</v>
      </c>
      <c r="E57" s="3">
        <v>45112</v>
      </c>
      <c r="F57" s="14">
        <v>83604</v>
      </c>
      <c r="G57">
        <v>54</v>
      </c>
      <c r="H57" t="s">
        <v>48</v>
      </c>
    </row>
    <row r="58" spans="1:8" x14ac:dyDescent="0.25">
      <c r="A58" t="s">
        <v>129</v>
      </c>
      <c r="B58" t="s">
        <v>26</v>
      </c>
      <c r="C58" t="s">
        <v>126</v>
      </c>
      <c r="D58" t="s">
        <v>35</v>
      </c>
      <c r="E58" s="3">
        <v>44148</v>
      </c>
      <c r="F58" s="14">
        <v>83604</v>
      </c>
      <c r="G58">
        <v>75</v>
      </c>
      <c r="H58" t="s">
        <v>48</v>
      </c>
    </row>
    <row r="59" spans="1:8" x14ac:dyDescent="0.25">
      <c r="A59" t="s">
        <v>130</v>
      </c>
      <c r="B59" t="s">
        <v>108</v>
      </c>
      <c r="C59" t="s">
        <v>23</v>
      </c>
      <c r="D59" t="s">
        <v>131</v>
      </c>
      <c r="E59" s="3" t="s">
        <v>132</v>
      </c>
      <c r="F59" s="14">
        <v>91655</v>
      </c>
      <c r="G59">
        <v>95</v>
      </c>
      <c r="H59" t="s">
        <v>43</v>
      </c>
    </row>
    <row r="60" spans="1:8" x14ac:dyDescent="0.25">
      <c r="A60" t="s">
        <v>133</v>
      </c>
      <c r="B60" t="s">
        <v>8</v>
      </c>
      <c r="C60" t="s">
        <v>9</v>
      </c>
      <c r="D60" t="s">
        <v>10</v>
      </c>
      <c r="E60" s="3">
        <v>45255</v>
      </c>
      <c r="F60" s="14">
        <v>49435</v>
      </c>
      <c r="G60">
        <v>70</v>
      </c>
      <c r="H60" t="s">
        <v>103</v>
      </c>
    </row>
    <row r="61" spans="1:8" x14ac:dyDescent="0.25">
      <c r="A61" t="s">
        <v>134</v>
      </c>
      <c r="B61" t="s">
        <v>8</v>
      </c>
      <c r="C61" t="s">
        <v>34</v>
      </c>
      <c r="D61" t="s">
        <v>46</v>
      </c>
      <c r="E61" s="3">
        <v>45217</v>
      </c>
      <c r="F61" s="14">
        <v>110381</v>
      </c>
      <c r="G61">
        <v>93</v>
      </c>
      <c r="H61" t="s">
        <v>43</v>
      </c>
    </row>
    <row r="62" spans="1:8" x14ac:dyDescent="0.25">
      <c r="A62" t="s">
        <v>135</v>
      </c>
      <c r="B62" t="s">
        <v>41</v>
      </c>
      <c r="C62" t="s">
        <v>128</v>
      </c>
      <c r="D62" t="s">
        <v>92</v>
      </c>
      <c r="E62" s="3">
        <v>44079</v>
      </c>
      <c r="F62" s="14">
        <v>114748</v>
      </c>
      <c r="G62">
        <v>33</v>
      </c>
      <c r="H62" t="s">
        <v>11</v>
      </c>
    </row>
    <row r="63" spans="1:8" x14ac:dyDescent="0.25">
      <c r="A63" t="s">
        <v>136</v>
      </c>
      <c r="B63" t="s">
        <v>56</v>
      </c>
      <c r="C63" t="s">
        <v>30</v>
      </c>
      <c r="D63" t="s">
        <v>31</v>
      </c>
      <c r="E63" s="3">
        <v>42800</v>
      </c>
      <c r="F63" s="14">
        <v>63302</v>
      </c>
      <c r="G63">
        <v>91</v>
      </c>
      <c r="H63" t="s">
        <v>11</v>
      </c>
    </row>
    <row r="64" spans="1:8" x14ac:dyDescent="0.25">
      <c r="A64" t="s">
        <v>137</v>
      </c>
      <c r="B64" t="s">
        <v>56</v>
      </c>
      <c r="C64" t="s">
        <v>45</v>
      </c>
      <c r="D64" t="s">
        <v>80</v>
      </c>
      <c r="E64" s="3">
        <v>42122</v>
      </c>
      <c r="F64" s="14">
        <v>75519</v>
      </c>
      <c r="G64">
        <v>64</v>
      </c>
      <c r="H64" t="s">
        <v>11</v>
      </c>
    </row>
    <row r="65" spans="1:8" x14ac:dyDescent="0.25">
      <c r="A65" t="s">
        <v>138</v>
      </c>
      <c r="B65" t="s">
        <v>50</v>
      </c>
      <c r="C65" t="s">
        <v>61</v>
      </c>
      <c r="D65" t="s">
        <v>73</v>
      </c>
      <c r="E65" s="3">
        <v>42838</v>
      </c>
      <c r="F65" s="14">
        <v>103891</v>
      </c>
      <c r="G65">
        <v>80</v>
      </c>
      <c r="H65" t="s">
        <v>11</v>
      </c>
    </row>
    <row r="66" spans="1:8" x14ac:dyDescent="0.25">
      <c r="A66" t="s">
        <v>139</v>
      </c>
      <c r="B66" t="s">
        <v>26</v>
      </c>
      <c r="C66" t="s">
        <v>61</v>
      </c>
      <c r="D66" t="s">
        <v>31</v>
      </c>
      <c r="E66" s="3">
        <v>44827</v>
      </c>
      <c r="F66" s="14">
        <v>83604</v>
      </c>
      <c r="G66">
        <v>46</v>
      </c>
      <c r="H66" t="s">
        <v>20</v>
      </c>
    </row>
    <row r="67" spans="1:8" x14ac:dyDescent="0.25">
      <c r="A67" t="s">
        <v>140</v>
      </c>
      <c r="B67" t="s">
        <v>26</v>
      </c>
      <c r="C67" t="s">
        <v>57</v>
      </c>
      <c r="D67" t="s">
        <v>58</v>
      </c>
      <c r="E67" s="3" t="s">
        <v>141</v>
      </c>
      <c r="F67" s="14">
        <v>50936</v>
      </c>
      <c r="G67">
        <v>99</v>
      </c>
      <c r="H67" t="s">
        <v>11</v>
      </c>
    </row>
    <row r="68" spans="1:8" x14ac:dyDescent="0.25">
      <c r="A68" t="s">
        <v>142</v>
      </c>
      <c r="B68" t="s">
        <v>41</v>
      </c>
      <c r="C68" t="s">
        <v>45</v>
      </c>
      <c r="D68" t="s">
        <v>76</v>
      </c>
      <c r="E68" s="3" t="s">
        <v>143</v>
      </c>
      <c r="F68" s="14">
        <v>111240</v>
      </c>
      <c r="G68">
        <v>70</v>
      </c>
      <c r="H68" t="s">
        <v>48</v>
      </c>
    </row>
    <row r="69" spans="1:8" x14ac:dyDescent="0.25">
      <c r="A69" t="s">
        <v>144</v>
      </c>
      <c r="B69" t="s">
        <v>13</v>
      </c>
      <c r="C69" t="s">
        <v>18</v>
      </c>
      <c r="D69" t="s">
        <v>92</v>
      </c>
      <c r="E69" s="3" t="s">
        <v>145</v>
      </c>
      <c r="F69" s="14">
        <v>51567</v>
      </c>
      <c r="G69">
        <v>87</v>
      </c>
      <c r="H69" t="s">
        <v>110</v>
      </c>
    </row>
    <row r="70" spans="1:8" x14ac:dyDescent="0.25">
      <c r="A70" t="s">
        <v>146</v>
      </c>
      <c r="B70" t="s">
        <v>100</v>
      </c>
      <c r="C70" t="s">
        <v>51</v>
      </c>
      <c r="D70" t="s">
        <v>147</v>
      </c>
      <c r="E70" s="3">
        <v>44402</v>
      </c>
      <c r="F70" s="14">
        <v>83604</v>
      </c>
      <c r="G70">
        <v>36</v>
      </c>
      <c r="H70" t="s">
        <v>43</v>
      </c>
    </row>
    <row r="71" spans="1:8" x14ac:dyDescent="0.25">
      <c r="A71" t="s">
        <v>148</v>
      </c>
      <c r="B71" t="s">
        <v>56</v>
      </c>
      <c r="C71" t="s">
        <v>45</v>
      </c>
      <c r="D71" t="s">
        <v>92</v>
      </c>
      <c r="E71" s="3">
        <v>43008</v>
      </c>
      <c r="F71" s="14">
        <v>55270</v>
      </c>
      <c r="G71">
        <v>87</v>
      </c>
      <c r="H71" t="s">
        <v>48</v>
      </c>
    </row>
    <row r="72" spans="1:8" x14ac:dyDescent="0.25">
      <c r="A72" t="s">
        <v>149</v>
      </c>
      <c r="B72" t="s">
        <v>150</v>
      </c>
      <c r="C72" t="s">
        <v>126</v>
      </c>
      <c r="D72" t="s">
        <v>42</v>
      </c>
      <c r="E72" s="3">
        <v>42192</v>
      </c>
      <c r="F72" s="14">
        <v>65235</v>
      </c>
      <c r="G72">
        <v>97</v>
      </c>
      <c r="H72" t="s">
        <v>16</v>
      </c>
    </row>
    <row r="73" spans="1:8" x14ac:dyDescent="0.25">
      <c r="A73" t="s">
        <v>151</v>
      </c>
      <c r="B73" t="s">
        <v>22</v>
      </c>
      <c r="C73" t="s">
        <v>18</v>
      </c>
      <c r="D73" t="s">
        <v>42</v>
      </c>
      <c r="E73" s="3">
        <v>43283</v>
      </c>
      <c r="F73" s="14">
        <v>83604</v>
      </c>
      <c r="G73">
        <v>72</v>
      </c>
      <c r="H73" t="s">
        <v>20</v>
      </c>
    </row>
    <row r="74" spans="1:8" x14ac:dyDescent="0.25">
      <c r="A74" t="s">
        <v>152</v>
      </c>
      <c r="B74" t="s">
        <v>63</v>
      </c>
      <c r="C74" t="s">
        <v>18</v>
      </c>
      <c r="D74" t="s">
        <v>46</v>
      </c>
      <c r="E74" s="3">
        <v>44819</v>
      </c>
      <c r="F74" s="14">
        <v>83604</v>
      </c>
      <c r="G74">
        <v>65</v>
      </c>
      <c r="H74" t="s">
        <v>20</v>
      </c>
    </row>
    <row r="75" spans="1:8" x14ac:dyDescent="0.25">
      <c r="A75" t="s">
        <v>153</v>
      </c>
      <c r="B75" t="s">
        <v>50</v>
      </c>
      <c r="C75" t="s">
        <v>18</v>
      </c>
      <c r="D75" t="s">
        <v>76</v>
      </c>
      <c r="E75" s="3">
        <v>42249</v>
      </c>
      <c r="F75" s="14">
        <v>83604</v>
      </c>
      <c r="G75">
        <v>67</v>
      </c>
      <c r="H75" t="s">
        <v>48</v>
      </c>
    </row>
    <row r="76" spans="1:8" x14ac:dyDescent="0.25">
      <c r="A76" t="s">
        <v>154</v>
      </c>
      <c r="B76" t="s">
        <v>108</v>
      </c>
      <c r="C76" t="s">
        <v>34</v>
      </c>
      <c r="D76" t="s">
        <v>155</v>
      </c>
      <c r="E76" s="3" t="s">
        <v>156</v>
      </c>
      <c r="F76" s="14">
        <v>48823</v>
      </c>
      <c r="G76">
        <v>34</v>
      </c>
      <c r="H76" t="s">
        <v>16</v>
      </c>
    </row>
    <row r="77" spans="1:8" x14ac:dyDescent="0.25">
      <c r="A77" t="s">
        <v>157</v>
      </c>
      <c r="B77" t="s">
        <v>50</v>
      </c>
      <c r="C77" t="s">
        <v>18</v>
      </c>
      <c r="D77" t="s">
        <v>73</v>
      </c>
      <c r="E77" s="3">
        <v>43575</v>
      </c>
      <c r="F77" s="14">
        <v>45196</v>
      </c>
      <c r="G77">
        <v>78</v>
      </c>
      <c r="H77" t="s">
        <v>20</v>
      </c>
    </row>
    <row r="78" spans="1:8" x14ac:dyDescent="0.25">
      <c r="A78" t="s">
        <v>158</v>
      </c>
      <c r="B78" t="s">
        <v>50</v>
      </c>
      <c r="C78" t="s">
        <v>39</v>
      </c>
      <c r="D78" t="s">
        <v>10</v>
      </c>
      <c r="E78" s="3" t="s">
        <v>159</v>
      </c>
      <c r="F78" s="14">
        <v>86246</v>
      </c>
      <c r="G78">
        <v>61</v>
      </c>
      <c r="H78" t="s">
        <v>48</v>
      </c>
    </row>
    <row r="79" spans="1:8" x14ac:dyDescent="0.25">
      <c r="A79" t="s">
        <v>160</v>
      </c>
      <c r="B79" t="s">
        <v>8</v>
      </c>
      <c r="C79" t="s">
        <v>45</v>
      </c>
      <c r="D79" t="s">
        <v>42</v>
      </c>
      <c r="E79" s="3" t="s">
        <v>161</v>
      </c>
      <c r="F79" s="14">
        <v>70359</v>
      </c>
      <c r="G79">
        <v>74</v>
      </c>
      <c r="H79" t="s">
        <v>28</v>
      </c>
    </row>
    <row r="80" spans="1:8" x14ac:dyDescent="0.25">
      <c r="A80" t="s">
        <v>162</v>
      </c>
      <c r="B80" t="s">
        <v>89</v>
      </c>
      <c r="C80" t="s">
        <v>45</v>
      </c>
      <c r="D80" t="s">
        <v>58</v>
      </c>
      <c r="E80" s="3">
        <v>43599</v>
      </c>
      <c r="F80" s="14">
        <v>83604</v>
      </c>
      <c r="G80">
        <v>94</v>
      </c>
      <c r="H80" t="s">
        <v>16</v>
      </c>
    </row>
    <row r="81" spans="1:8" x14ac:dyDescent="0.25">
      <c r="A81" t="s">
        <v>163</v>
      </c>
      <c r="B81" t="s">
        <v>37</v>
      </c>
      <c r="C81" t="s">
        <v>126</v>
      </c>
      <c r="D81" t="s">
        <v>35</v>
      </c>
      <c r="E81" s="3">
        <v>42330</v>
      </c>
      <c r="F81" s="14">
        <v>86480</v>
      </c>
      <c r="G81">
        <v>70</v>
      </c>
      <c r="H81" t="s">
        <v>16</v>
      </c>
    </row>
    <row r="82" spans="1:8" x14ac:dyDescent="0.25">
      <c r="A82" t="s">
        <v>164</v>
      </c>
      <c r="B82" t="s">
        <v>13</v>
      </c>
      <c r="C82" t="s">
        <v>27</v>
      </c>
      <c r="D82" t="s">
        <v>131</v>
      </c>
      <c r="E82" s="3" t="s">
        <v>165</v>
      </c>
      <c r="F82" s="14">
        <v>47694</v>
      </c>
      <c r="G82">
        <v>75</v>
      </c>
      <c r="H82" t="s">
        <v>16</v>
      </c>
    </row>
    <row r="83" spans="1:8" x14ac:dyDescent="0.25">
      <c r="A83" t="s">
        <v>166</v>
      </c>
      <c r="B83" t="s">
        <v>100</v>
      </c>
      <c r="C83" t="s">
        <v>34</v>
      </c>
      <c r="D83" t="s">
        <v>10</v>
      </c>
      <c r="E83" s="3">
        <v>45171</v>
      </c>
      <c r="F83" s="14">
        <v>83724</v>
      </c>
      <c r="G83">
        <v>81</v>
      </c>
      <c r="H83" t="s">
        <v>110</v>
      </c>
    </row>
    <row r="84" spans="1:8" x14ac:dyDescent="0.25">
      <c r="A84" t="s">
        <v>167</v>
      </c>
      <c r="B84" t="s">
        <v>26</v>
      </c>
      <c r="C84" t="s">
        <v>51</v>
      </c>
      <c r="D84" t="s">
        <v>73</v>
      </c>
      <c r="E84" s="3">
        <v>44759</v>
      </c>
      <c r="F84" s="14">
        <v>98299</v>
      </c>
      <c r="G84">
        <v>61</v>
      </c>
      <c r="H84" t="s">
        <v>48</v>
      </c>
    </row>
    <row r="85" spans="1:8" x14ac:dyDescent="0.25">
      <c r="A85" t="s">
        <v>168</v>
      </c>
      <c r="B85" t="s">
        <v>108</v>
      </c>
      <c r="C85" t="s">
        <v>51</v>
      </c>
      <c r="D85" t="s">
        <v>24</v>
      </c>
      <c r="E85" s="3" t="s">
        <v>169</v>
      </c>
      <c r="F85" s="14">
        <v>83604</v>
      </c>
      <c r="G85">
        <v>68</v>
      </c>
      <c r="H85" t="s">
        <v>48</v>
      </c>
    </row>
    <row r="86" spans="1:8" x14ac:dyDescent="0.25">
      <c r="A86" t="s">
        <v>170</v>
      </c>
      <c r="B86" t="s">
        <v>22</v>
      </c>
      <c r="C86" t="s">
        <v>30</v>
      </c>
      <c r="D86" t="s">
        <v>80</v>
      </c>
      <c r="E86" s="3" t="s">
        <v>171</v>
      </c>
      <c r="F86" s="14">
        <v>52287</v>
      </c>
      <c r="G86">
        <v>70</v>
      </c>
      <c r="H86" t="s">
        <v>11</v>
      </c>
    </row>
    <row r="87" spans="1:8" x14ac:dyDescent="0.25">
      <c r="A87" t="s">
        <v>172</v>
      </c>
      <c r="B87" t="s">
        <v>13</v>
      </c>
      <c r="C87" t="s">
        <v>18</v>
      </c>
      <c r="D87" t="s">
        <v>10</v>
      </c>
      <c r="E87" s="3">
        <v>44073</v>
      </c>
      <c r="F87" s="14">
        <v>82633</v>
      </c>
      <c r="G87">
        <v>98</v>
      </c>
      <c r="H87" t="s">
        <v>16</v>
      </c>
    </row>
    <row r="88" spans="1:8" x14ac:dyDescent="0.25">
      <c r="A88" t="s">
        <v>173</v>
      </c>
      <c r="B88" t="s">
        <v>100</v>
      </c>
      <c r="C88" t="s">
        <v>128</v>
      </c>
      <c r="D88" t="s">
        <v>35</v>
      </c>
      <c r="E88" s="3">
        <v>44422</v>
      </c>
      <c r="F88" s="14">
        <v>46508</v>
      </c>
      <c r="G88">
        <v>34</v>
      </c>
      <c r="H88" t="s">
        <v>43</v>
      </c>
    </row>
    <row r="89" spans="1:8" x14ac:dyDescent="0.25">
      <c r="A89" t="s">
        <v>174</v>
      </c>
      <c r="B89" t="s">
        <v>8</v>
      </c>
      <c r="C89" t="s">
        <v>18</v>
      </c>
      <c r="D89" t="s">
        <v>131</v>
      </c>
      <c r="E89" s="3" t="s">
        <v>175</v>
      </c>
      <c r="F89" s="14">
        <v>86232</v>
      </c>
      <c r="G89">
        <v>93</v>
      </c>
      <c r="H89" t="s">
        <v>43</v>
      </c>
    </row>
    <row r="90" spans="1:8" x14ac:dyDescent="0.25">
      <c r="A90" t="s">
        <v>176</v>
      </c>
      <c r="B90" t="s">
        <v>50</v>
      </c>
      <c r="C90" t="s">
        <v>61</v>
      </c>
      <c r="D90" t="s">
        <v>80</v>
      </c>
      <c r="E90" s="3" t="s">
        <v>177</v>
      </c>
      <c r="F90" s="14">
        <v>77545</v>
      </c>
      <c r="G90">
        <v>48</v>
      </c>
      <c r="H90" t="s">
        <v>43</v>
      </c>
    </row>
    <row r="91" spans="1:8" x14ac:dyDescent="0.25">
      <c r="A91" t="s">
        <v>178</v>
      </c>
      <c r="B91" t="s">
        <v>150</v>
      </c>
      <c r="C91" t="s">
        <v>18</v>
      </c>
      <c r="D91" t="s">
        <v>35</v>
      </c>
      <c r="E91" s="3">
        <v>43436</v>
      </c>
      <c r="F91" s="14">
        <v>68683</v>
      </c>
      <c r="G91">
        <v>90</v>
      </c>
      <c r="H91" t="s">
        <v>48</v>
      </c>
    </row>
    <row r="92" spans="1:8" x14ac:dyDescent="0.25">
      <c r="A92" t="s">
        <v>179</v>
      </c>
      <c r="B92" t="s">
        <v>26</v>
      </c>
      <c r="C92" t="s">
        <v>57</v>
      </c>
      <c r="D92" t="s">
        <v>24</v>
      </c>
      <c r="E92" s="3">
        <v>43639</v>
      </c>
      <c r="F92" s="14">
        <v>83932</v>
      </c>
      <c r="G92">
        <v>57</v>
      </c>
      <c r="H92" t="s">
        <v>20</v>
      </c>
    </row>
    <row r="93" spans="1:8" x14ac:dyDescent="0.25">
      <c r="A93" t="s">
        <v>180</v>
      </c>
      <c r="B93" t="s">
        <v>37</v>
      </c>
      <c r="C93" t="s">
        <v>128</v>
      </c>
      <c r="D93" t="s">
        <v>92</v>
      </c>
      <c r="E93" s="3">
        <v>42304</v>
      </c>
      <c r="F93" s="14">
        <v>56073</v>
      </c>
      <c r="G93">
        <v>79</v>
      </c>
      <c r="H93" t="s">
        <v>43</v>
      </c>
    </row>
    <row r="94" spans="1:8" x14ac:dyDescent="0.25">
      <c r="A94" t="s">
        <v>181</v>
      </c>
      <c r="B94" t="s">
        <v>100</v>
      </c>
      <c r="C94" t="s">
        <v>30</v>
      </c>
      <c r="D94" t="s">
        <v>19</v>
      </c>
      <c r="E94" s="3">
        <v>43270</v>
      </c>
      <c r="F94" s="14">
        <v>88056</v>
      </c>
      <c r="G94">
        <v>66</v>
      </c>
      <c r="H94" t="s">
        <v>48</v>
      </c>
    </row>
    <row r="95" spans="1:8" x14ac:dyDescent="0.25">
      <c r="A95" t="s">
        <v>182</v>
      </c>
      <c r="B95" t="s">
        <v>26</v>
      </c>
      <c r="C95" t="s">
        <v>45</v>
      </c>
      <c r="D95" t="s">
        <v>155</v>
      </c>
      <c r="E95" s="3">
        <v>43112</v>
      </c>
      <c r="F95" s="14">
        <v>67414</v>
      </c>
      <c r="G95">
        <v>84</v>
      </c>
      <c r="H95" t="s">
        <v>28</v>
      </c>
    </row>
    <row r="96" spans="1:8" x14ac:dyDescent="0.25">
      <c r="A96" t="s">
        <v>183</v>
      </c>
      <c r="B96" t="s">
        <v>150</v>
      </c>
      <c r="C96" t="s">
        <v>18</v>
      </c>
      <c r="D96" t="s">
        <v>42</v>
      </c>
      <c r="E96" s="3">
        <v>42008</v>
      </c>
      <c r="F96" s="14">
        <v>115288</v>
      </c>
      <c r="G96">
        <v>61</v>
      </c>
      <c r="H96" t="s">
        <v>48</v>
      </c>
    </row>
    <row r="97" spans="1:8" x14ac:dyDescent="0.25">
      <c r="A97" t="s">
        <v>184</v>
      </c>
      <c r="C97" t="s">
        <v>27</v>
      </c>
      <c r="D97" t="s">
        <v>42</v>
      </c>
      <c r="E97" s="3">
        <v>43439</v>
      </c>
      <c r="F97" s="14">
        <v>80140</v>
      </c>
      <c r="G97">
        <v>58</v>
      </c>
      <c r="H97" t="s">
        <v>43</v>
      </c>
    </row>
    <row r="98" spans="1:8" x14ac:dyDescent="0.25">
      <c r="A98" t="s">
        <v>185</v>
      </c>
      <c r="B98" t="s">
        <v>22</v>
      </c>
      <c r="C98" t="s">
        <v>30</v>
      </c>
      <c r="D98" t="s">
        <v>10</v>
      </c>
      <c r="E98" s="3">
        <v>44482</v>
      </c>
      <c r="F98" s="14">
        <v>73087</v>
      </c>
      <c r="G98">
        <v>69</v>
      </c>
      <c r="H98" t="s">
        <v>48</v>
      </c>
    </row>
    <row r="99" spans="1:8" x14ac:dyDescent="0.25">
      <c r="A99" t="s">
        <v>186</v>
      </c>
      <c r="B99" t="s">
        <v>50</v>
      </c>
      <c r="C99" t="s">
        <v>30</v>
      </c>
      <c r="D99" t="s">
        <v>76</v>
      </c>
      <c r="E99" s="3">
        <v>44081</v>
      </c>
      <c r="F99" s="14">
        <v>95292</v>
      </c>
      <c r="G99">
        <v>34</v>
      </c>
      <c r="H99" t="s">
        <v>11</v>
      </c>
    </row>
    <row r="100" spans="1:8" x14ac:dyDescent="0.25">
      <c r="A100" t="s">
        <v>187</v>
      </c>
      <c r="B100" t="s">
        <v>22</v>
      </c>
      <c r="C100" t="s">
        <v>57</v>
      </c>
      <c r="D100" t="s">
        <v>19</v>
      </c>
      <c r="E100" s="3" t="s">
        <v>188</v>
      </c>
      <c r="F100" s="14">
        <v>83604</v>
      </c>
      <c r="G100">
        <v>33</v>
      </c>
      <c r="H100" t="s">
        <v>11</v>
      </c>
    </row>
    <row r="101" spans="1:8" x14ac:dyDescent="0.25">
      <c r="A101" t="s">
        <v>189</v>
      </c>
      <c r="B101" t="s">
        <v>50</v>
      </c>
      <c r="C101" t="s">
        <v>66</v>
      </c>
      <c r="D101" t="s">
        <v>15</v>
      </c>
      <c r="E101" s="3" t="s">
        <v>190</v>
      </c>
      <c r="F101" s="14">
        <v>101750</v>
      </c>
      <c r="G101">
        <v>84</v>
      </c>
      <c r="H101" t="s">
        <v>103</v>
      </c>
    </row>
    <row r="102" spans="1:8" x14ac:dyDescent="0.25">
      <c r="A102" t="s">
        <v>191</v>
      </c>
      <c r="B102" t="s">
        <v>100</v>
      </c>
      <c r="C102" t="s">
        <v>18</v>
      </c>
      <c r="D102" t="s">
        <v>52</v>
      </c>
      <c r="E102" s="3" t="s">
        <v>192</v>
      </c>
      <c r="F102" s="14">
        <v>82992</v>
      </c>
      <c r="G102">
        <v>79</v>
      </c>
      <c r="H102" t="s">
        <v>48</v>
      </c>
    </row>
    <row r="103" spans="1:8" x14ac:dyDescent="0.25">
      <c r="A103" t="s">
        <v>193</v>
      </c>
      <c r="B103" t="s">
        <v>150</v>
      </c>
      <c r="C103" t="s">
        <v>61</v>
      </c>
      <c r="D103" t="s">
        <v>10</v>
      </c>
      <c r="E103" s="3">
        <v>45055</v>
      </c>
      <c r="F103" s="14">
        <v>49942</v>
      </c>
      <c r="G103">
        <v>51</v>
      </c>
      <c r="H103" t="s">
        <v>11</v>
      </c>
    </row>
    <row r="104" spans="1:8" x14ac:dyDescent="0.25">
      <c r="A104" t="s">
        <v>194</v>
      </c>
      <c r="B104" t="s">
        <v>22</v>
      </c>
      <c r="C104" t="s">
        <v>27</v>
      </c>
      <c r="D104" t="s">
        <v>35</v>
      </c>
      <c r="E104" s="3">
        <v>43122</v>
      </c>
      <c r="F104" s="14">
        <v>89060</v>
      </c>
      <c r="G104">
        <v>58</v>
      </c>
      <c r="H104" t="s">
        <v>11</v>
      </c>
    </row>
    <row r="105" spans="1:8" x14ac:dyDescent="0.25">
      <c r="A105" t="s">
        <v>195</v>
      </c>
      <c r="B105" t="s">
        <v>63</v>
      </c>
      <c r="C105" t="s">
        <v>18</v>
      </c>
      <c r="D105" t="s">
        <v>10</v>
      </c>
      <c r="E105" s="3">
        <v>43879</v>
      </c>
      <c r="F105" s="14">
        <v>53786</v>
      </c>
      <c r="G105">
        <v>98</v>
      </c>
      <c r="H105" t="s">
        <v>43</v>
      </c>
    </row>
    <row r="106" spans="1:8" x14ac:dyDescent="0.25">
      <c r="A106" t="s">
        <v>196</v>
      </c>
      <c r="B106" t="s">
        <v>8</v>
      </c>
      <c r="C106" t="s">
        <v>30</v>
      </c>
      <c r="D106" t="s">
        <v>31</v>
      </c>
      <c r="E106" s="3" t="s">
        <v>197</v>
      </c>
      <c r="F106" s="14">
        <v>81167</v>
      </c>
      <c r="G106">
        <v>70</v>
      </c>
      <c r="H106" t="s">
        <v>43</v>
      </c>
    </row>
    <row r="107" spans="1:8" x14ac:dyDescent="0.25">
      <c r="A107" t="s">
        <v>198</v>
      </c>
      <c r="B107" t="s">
        <v>150</v>
      </c>
      <c r="C107" t="s">
        <v>51</v>
      </c>
      <c r="D107" t="s">
        <v>15</v>
      </c>
      <c r="E107" s="3">
        <v>44349</v>
      </c>
      <c r="F107" s="14">
        <v>66688</v>
      </c>
      <c r="G107">
        <v>40</v>
      </c>
      <c r="H107" t="s">
        <v>103</v>
      </c>
    </row>
    <row r="108" spans="1:8" x14ac:dyDescent="0.25">
      <c r="A108" t="s">
        <v>199</v>
      </c>
      <c r="B108" t="s">
        <v>63</v>
      </c>
      <c r="C108" t="s">
        <v>57</v>
      </c>
      <c r="D108" t="s">
        <v>10</v>
      </c>
      <c r="E108" s="3">
        <v>44394</v>
      </c>
      <c r="F108" s="14">
        <v>91672</v>
      </c>
      <c r="G108">
        <v>88</v>
      </c>
      <c r="H108" t="s">
        <v>16</v>
      </c>
    </row>
    <row r="109" spans="1:8" x14ac:dyDescent="0.25">
      <c r="A109" t="s">
        <v>200</v>
      </c>
      <c r="B109" t="s">
        <v>37</v>
      </c>
      <c r="C109" t="s">
        <v>18</v>
      </c>
      <c r="D109" t="s">
        <v>147</v>
      </c>
      <c r="E109" s="3" t="s">
        <v>201</v>
      </c>
      <c r="F109" s="14">
        <v>77737</v>
      </c>
      <c r="G109">
        <v>77</v>
      </c>
      <c r="H109" t="s">
        <v>11</v>
      </c>
    </row>
    <row r="110" spans="1:8" x14ac:dyDescent="0.25">
      <c r="A110" t="s">
        <v>202</v>
      </c>
      <c r="B110" t="s">
        <v>89</v>
      </c>
      <c r="C110" t="s">
        <v>45</v>
      </c>
      <c r="D110" t="s">
        <v>76</v>
      </c>
      <c r="E110" s="3">
        <v>43513</v>
      </c>
      <c r="F110" s="14">
        <v>95686</v>
      </c>
      <c r="G110">
        <v>91</v>
      </c>
      <c r="H110" t="s">
        <v>11</v>
      </c>
    </row>
    <row r="111" spans="1:8" x14ac:dyDescent="0.25">
      <c r="A111" t="s">
        <v>203</v>
      </c>
      <c r="B111" t="s">
        <v>37</v>
      </c>
      <c r="C111" t="s">
        <v>27</v>
      </c>
      <c r="D111" t="s">
        <v>42</v>
      </c>
      <c r="E111" s="3">
        <v>42625</v>
      </c>
      <c r="F111" s="14">
        <v>114681</v>
      </c>
      <c r="G111">
        <v>36</v>
      </c>
      <c r="H111" t="s">
        <v>16</v>
      </c>
    </row>
    <row r="112" spans="1:8" x14ac:dyDescent="0.25">
      <c r="A112" t="s">
        <v>204</v>
      </c>
      <c r="B112" t="s">
        <v>26</v>
      </c>
      <c r="C112" t="s">
        <v>57</v>
      </c>
      <c r="D112" t="s">
        <v>35</v>
      </c>
      <c r="E112" s="3" t="s">
        <v>205</v>
      </c>
      <c r="F112" s="14">
        <v>109121</v>
      </c>
      <c r="G112">
        <v>72</v>
      </c>
      <c r="H112" t="s">
        <v>43</v>
      </c>
    </row>
    <row r="113" spans="1:8" x14ac:dyDescent="0.25">
      <c r="A113" t="s">
        <v>206</v>
      </c>
      <c r="B113" t="s">
        <v>68</v>
      </c>
      <c r="C113" t="s">
        <v>9</v>
      </c>
      <c r="D113" t="s">
        <v>15</v>
      </c>
      <c r="E113" s="3">
        <v>43996</v>
      </c>
      <c r="F113" s="14">
        <v>112791</v>
      </c>
      <c r="G113">
        <v>87</v>
      </c>
      <c r="H113" t="s">
        <v>11</v>
      </c>
    </row>
    <row r="114" spans="1:8" x14ac:dyDescent="0.25">
      <c r="A114" t="s">
        <v>207</v>
      </c>
      <c r="B114" t="s">
        <v>56</v>
      </c>
      <c r="C114" t="s">
        <v>23</v>
      </c>
      <c r="D114" t="s">
        <v>19</v>
      </c>
      <c r="E114" s="3" t="s">
        <v>208</v>
      </c>
      <c r="F114" s="14">
        <v>118008</v>
      </c>
      <c r="G114">
        <v>71</v>
      </c>
      <c r="H114" t="s">
        <v>11</v>
      </c>
    </row>
    <row r="115" spans="1:8" x14ac:dyDescent="0.25">
      <c r="A115" t="s">
        <v>209</v>
      </c>
      <c r="B115" t="s">
        <v>26</v>
      </c>
      <c r="C115" t="s">
        <v>45</v>
      </c>
      <c r="D115" t="s">
        <v>10</v>
      </c>
      <c r="E115" s="3" t="s">
        <v>210</v>
      </c>
      <c r="F115" s="14">
        <v>74370</v>
      </c>
      <c r="G115">
        <v>82</v>
      </c>
      <c r="H115" t="s">
        <v>48</v>
      </c>
    </row>
    <row r="116" spans="1:8" x14ac:dyDescent="0.25">
      <c r="A116" t="s">
        <v>211</v>
      </c>
      <c r="B116" t="s">
        <v>108</v>
      </c>
      <c r="C116" t="s">
        <v>39</v>
      </c>
      <c r="D116" t="s">
        <v>19</v>
      </c>
      <c r="E116" s="3">
        <v>44674</v>
      </c>
      <c r="F116" s="14">
        <v>77819</v>
      </c>
      <c r="G116">
        <v>79</v>
      </c>
      <c r="H116" t="s">
        <v>16</v>
      </c>
    </row>
    <row r="117" spans="1:8" x14ac:dyDescent="0.25">
      <c r="A117" t="s">
        <v>212</v>
      </c>
      <c r="B117" t="s">
        <v>50</v>
      </c>
      <c r="C117" t="s">
        <v>45</v>
      </c>
      <c r="D117" t="s">
        <v>58</v>
      </c>
      <c r="E117" s="3" t="s">
        <v>213</v>
      </c>
      <c r="F117" s="14">
        <v>48748</v>
      </c>
      <c r="G117">
        <v>83</v>
      </c>
      <c r="H117" t="s">
        <v>48</v>
      </c>
    </row>
    <row r="118" spans="1:8" x14ac:dyDescent="0.25">
      <c r="A118" t="s">
        <v>214</v>
      </c>
      <c r="B118" t="s">
        <v>63</v>
      </c>
      <c r="C118" t="s">
        <v>39</v>
      </c>
      <c r="D118" t="s">
        <v>31</v>
      </c>
      <c r="E118" s="3">
        <v>43971</v>
      </c>
      <c r="F118" s="14">
        <v>101997</v>
      </c>
      <c r="G118">
        <v>38</v>
      </c>
      <c r="H118" t="s">
        <v>110</v>
      </c>
    </row>
    <row r="119" spans="1:8" x14ac:dyDescent="0.25">
      <c r="A119" t="s">
        <v>215</v>
      </c>
      <c r="B119" t="s">
        <v>89</v>
      </c>
      <c r="C119" t="s">
        <v>39</v>
      </c>
      <c r="D119" t="s">
        <v>92</v>
      </c>
      <c r="E119" s="3" t="s">
        <v>216</v>
      </c>
      <c r="F119" s="14">
        <v>115260</v>
      </c>
      <c r="G119">
        <v>77</v>
      </c>
      <c r="H119" t="s">
        <v>48</v>
      </c>
    </row>
    <row r="120" spans="1:8" x14ac:dyDescent="0.25">
      <c r="A120" t="s">
        <v>217</v>
      </c>
      <c r="B120" t="s">
        <v>89</v>
      </c>
      <c r="C120" t="s">
        <v>34</v>
      </c>
      <c r="D120" t="s">
        <v>42</v>
      </c>
      <c r="E120" s="3">
        <v>44500</v>
      </c>
      <c r="F120" s="14">
        <v>83604</v>
      </c>
      <c r="G120">
        <v>49</v>
      </c>
      <c r="H120" t="s">
        <v>11</v>
      </c>
    </row>
    <row r="121" spans="1:8" x14ac:dyDescent="0.25">
      <c r="A121" t="s">
        <v>218</v>
      </c>
      <c r="B121" t="s">
        <v>100</v>
      </c>
      <c r="C121" t="s">
        <v>9</v>
      </c>
      <c r="D121" t="s">
        <v>19</v>
      </c>
      <c r="E121" s="3" t="s">
        <v>219</v>
      </c>
      <c r="F121" s="14">
        <v>83604</v>
      </c>
      <c r="G121">
        <v>69</v>
      </c>
      <c r="H121" t="s">
        <v>103</v>
      </c>
    </row>
    <row r="122" spans="1:8" x14ac:dyDescent="0.25">
      <c r="A122" t="s">
        <v>220</v>
      </c>
      <c r="B122" t="s">
        <v>56</v>
      </c>
      <c r="C122" t="s">
        <v>51</v>
      </c>
      <c r="D122" t="s">
        <v>42</v>
      </c>
      <c r="E122" s="3">
        <v>42956</v>
      </c>
      <c r="F122" s="14">
        <v>83604</v>
      </c>
      <c r="G122">
        <v>76</v>
      </c>
      <c r="H122" t="s">
        <v>11</v>
      </c>
    </row>
    <row r="123" spans="1:8" x14ac:dyDescent="0.25">
      <c r="A123" t="s">
        <v>221</v>
      </c>
      <c r="B123" t="s">
        <v>100</v>
      </c>
      <c r="C123" t="s">
        <v>39</v>
      </c>
      <c r="D123" t="s">
        <v>155</v>
      </c>
      <c r="E123" s="3">
        <v>44930</v>
      </c>
      <c r="F123" s="14">
        <v>60623</v>
      </c>
      <c r="G123">
        <v>78</v>
      </c>
      <c r="H123" t="s">
        <v>43</v>
      </c>
    </row>
    <row r="124" spans="1:8" x14ac:dyDescent="0.25">
      <c r="A124" t="s">
        <v>222</v>
      </c>
      <c r="B124" t="s">
        <v>63</v>
      </c>
      <c r="C124" t="s">
        <v>30</v>
      </c>
      <c r="D124" t="s">
        <v>147</v>
      </c>
      <c r="E124" s="3" t="s">
        <v>223</v>
      </c>
      <c r="F124" s="14">
        <v>68092</v>
      </c>
      <c r="G124">
        <v>93</v>
      </c>
      <c r="H124" t="s">
        <v>11</v>
      </c>
    </row>
    <row r="125" spans="1:8" x14ac:dyDescent="0.25">
      <c r="A125" t="s">
        <v>224</v>
      </c>
      <c r="B125" t="s">
        <v>41</v>
      </c>
      <c r="C125" t="s">
        <v>34</v>
      </c>
      <c r="D125" t="s">
        <v>15</v>
      </c>
      <c r="E125" s="3">
        <v>44653</v>
      </c>
      <c r="F125" s="14">
        <v>88155</v>
      </c>
      <c r="G125">
        <v>68</v>
      </c>
      <c r="H125" t="s">
        <v>43</v>
      </c>
    </row>
    <row r="126" spans="1:8" x14ac:dyDescent="0.25">
      <c r="A126" t="s">
        <v>225</v>
      </c>
      <c r="B126" t="s">
        <v>150</v>
      </c>
      <c r="C126" t="s">
        <v>57</v>
      </c>
      <c r="D126" t="s">
        <v>15</v>
      </c>
      <c r="E126" s="3" t="s">
        <v>226</v>
      </c>
      <c r="F126" s="14">
        <v>107903</v>
      </c>
      <c r="G126">
        <v>42</v>
      </c>
      <c r="H126" t="s">
        <v>16</v>
      </c>
    </row>
    <row r="127" spans="1:8" x14ac:dyDescent="0.25">
      <c r="A127" t="s">
        <v>227</v>
      </c>
      <c r="B127" t="s">
        <v>150</v>
      </c>
      <c r="C127" t="s">
        <v>51</v>
      </c>
      <c r="D127" t="s">
        <v>10</v>
      </c>
      <c r="E127" s="3">
        <v>43305</v>
      </c>
      <c r="F127" s="14">
        <v>62818</v>
      </c>
      <c r="G127">
        <v>34</v>
      </c>
      <c r="H127" t="s">
        <v>16</v>
      </c>
    </row>
    <row r="128" spans="1:8" x14ac:dyDescent="0.25">
      <c r="A128" t="s">
        <v>228</v>
      </c>
      <c r="B128" t="s">
        <v>108</v>
      </c>
      <c r="C128" t="s">
        <v>51</v>
      </c>
      <c r="D128" t="s">
        <v>147</v>
      </c>
      <c r="E128" s="3">
        <v>43301</v>
      </c>
      <c r="F128" s="14">
        <v>85151</v>
      </c>
      <c r="G128">
        <v>35</v>
      </c>
      <c r="H128" t="s">
        <v>16</v>
      </c>
    </row>
    <row r="129" spans="1:8" x14ac:dyDescent="0.25">
      <c r="A129" t="s">
        <v>229</v>
      </c>
      <c r="B129" t="s">
        <v>50</v>
      </c>
      <c r="C129" t="s">
        <v>61</v>
      </c>
      <c r="D129" t="s">
        <v>73</v>
      </c>
      <c r="E129" s="3" t="s">
        <v>230</v>
      </c>
      <c r="F129" s="14">
        <v>46390</v>
      </c>
      <c r="G129">
        <v>95</v>
      </c>
      <c r="H129" t="s">
        <v>48</v>
      </c>
    </row>
    <row r="130" spans="1:8" x14ac:dyDescent="0.25">
      <c r="A130" t="s">
        <v>231</v>
      </c>
      <c r="B130" t="s">
        <v>22</v>
      </c>
      <c r="C130" t="s">
        <v>23</v>
      </c>
      <c r="D130" t="s">
        <v>147</v>
      </c>
      <c r="E130" s="3">
        <v>44643</v>
      </c>
      <c r="F130" s="14">
        <v>111920</v>
      </c>
      <c r="G130">
        <v>90</v>
      </c>
      <c r="H130" t="s">
        <v>20</v>
      </c>
    </row>
    <row r="131" spans="1:8" x14ac:dyDescent="0.25">
      <c r="A131" t="s">
        <v>232</v>
      </c>
      <c r="B131" t="s">
        <v>108</v>
      </c>
      <c r="C131" t="s">
        <v>128</v>
      </c>
      <c r="D131" t="s">
        <v>131</v>
      </c>
      <c r="E131" s="3" t="s">
        <v>233</v>
      </c>
      <c r="F131" s="14">
        <v>115618</v>
      </c>
      <c r="G131">
        <v>42</v>
      </c>
      <c r="H131" t="s">
        <v>16</v>
      </c>
    </row>
    <row r="132" spans="1:8" x14ac:dyDescent="0.25">
      <c r="A132" t="s">
        <v>234</v>
      </c>
      <c r="B132" t="s">
        <v>89</v>
      </c>
      <c r="C132" t="s">
        <v>27</v>
      </c>
      <c r="D132" t="s">
        <v>42</v>
      </c>
      <c r="E132" s="3" t="s">
        <v>235</v>
      </c>
      <c r="F132" s="14">
        <v>110618</v>
      </c>
      <c r="G132">
        <v>88</v>
      </c>
      <c r="H132" t="s">
        <v>110</v>
      </c>
    </row>
    <row r="133" spans="1:8" x14ac:dyDescent="0.25">
      <c r="A133" t="s">
        <v>236</v>
      </c>
      <c r="B133" t="s">
        <v>100</v>
      </c>
      <c r="C133" t="s">
        <v>14</v>
      </c>
      <c r="D133" t="s">
        <v>35</v>
      </c>
      <c r="E133" s="3" t="s">
        <v>237</v>
      </c>
      <c r="F133" s="14">
        <v>108395</v>
      </c>
      <c r="G133">
        <v>78</v>
      </c>
      <c r="H133" t="s">
        <v>28</v>
      </c>
    </row>
    <row r="134" spans="1:8" x14ac:dyDescent="0.25">
      <c r="A134" t="s">
        <v>238</v>
      </c>
      <c r="B134" t="s">
        <v>100</v>
      </c>
      <c r="C134" t="s">
        <v>30</v>
      </c>
      <c r="D134" t="s">
        <v>24</v>
      </c>
      <c r="E134" s="3">
        <v>43091</v>
      </c>
      <c r="F134" s="14">
        <v>88005</v>
      </c>
      <c r="G134">
        <v>69</v>
      </c>
      <c r="H134" t="s">
        <v>48</v>
      </c>
    </row>
    <row r="135" spans="1:8" x14ac:dyDescent="0.25">
      <c r="A135" t="s">
        <v>239</v>
      </c>
      <c r="B135" t="s">
        <v>50</v>
      </c>
      <c r="C135" t="s">
        <v>126</v>
      </c>
      <c r="D135" t="s">
        <v>58</v>
      </c>
      <c r="E135" s="3" t="s">
        <v>240</v>
      </c>
      <c r="F135" s="14">
        <v>83007</v>
      </c>
      <c r="G135">
        <v>82</v>
      </c>
      <c r="H135" t="s">
        <v>43</v>
      </c>
    </row>
    <row r="136" spans="1:8" x14ac:dyDescent="0.25">
      <c r="A136" t="s">
        <v>241</v>
      </c>
      <c r="B136" t="s">
        <v>108</v>
      </c>
      <c r="C136" t="s">
        <v>61</v>
      </c>
      <c r="D136" t="s">
        <v>10</v>
      </c>
      <c r="E136" s="3">
        <v>43360</v>
      </c>
      <c r="F136" s="14">
        <v>61547</v>
      </c>
      <c r="G136">
        <v>68</v>
      </c>
      <c r="H136" t="s">
        <v>16</v>
      </c>
    </row>
    <row r="137" spans="1:8" x14ac:dyDescent="0.25">
      <c r="A137" t="s">
        <v>242</v>
      </c>
      <c r="B137" t="s">
        <v>63</v>
      </c>
      <c r="C137" t="s">
        <v>34</v>
      </c>
      <c r="D137" t="s">
        <v>46</v>
      </c>
      <c r="E137" s="3">
        <v>44375</v>
      </c>
      <c r="F137" s="14">
        <v>83604</v>
      </c>
      <c r="G137">
        <v>52</v>
      </c>
      <c r="H137" t="s">
        <v>43</v>
      </c>
    </row>
    <row r="138" spans="1:8" x14ac:dyDescent="0.25">
      <c r="A138" t="s">
        <v>243</v>
      </c>
      <c r="B138" t="s">
        <v>13</v>
      </c>
      <c r="C138" t="s">
        <v>30</v>
      </c>
      <c r="D138" t="s">
        <v>31</v>
      </c>
      <c r="E138" s="3" t="s">
        <v>244</v>
      </c>
      <c r="F138" s="14">
        <v>50399</v>
      </c>
      <c r="G138">
        <v>92</v>
      </c>
      <c r="H138" t="s">
        <v>103</v>
      </c>
    </row>
    <row r="139" spans="1:8" x14ac:dyDescent="0.25">
      <c r="A139" t="s">
        <v>245</v>
      </c>
      <c r="B139" t="s">
        <v>13</v>
      </c>
      <c r="C139" t="s">
        <v>51</v>
      </c>
      <c r="D139" t="s">
        <v>24</v>
      </c>
      <c r="E139" s="3" t="s">
        <v>246</v>
      </c>
      <c r="F139" s="14">
        <v>83604</v>
      </c>
      <c r="G139">
        <v>62</v>
      </c>
      <c r="H139" t="s">
        <v>16</v>
      </c>
    </row>
    <row r="140" spans="1:8" x14ac:dyDescent="0.25">
      <c r="A140" t="s">
        <v>247</v>
      </c>
      <c r="B140" t="s">
        <v>22</v>
      </c>
      <c r="C140" t="s">
        <v>14</v>
      </c>
      <c r="D140" t="s">
        <v>31</v>
      </c>
      <c r="E140" s="3">
        <v>43257</v>
      </c>
      <c r="F140" s="14">
        <v>52720</v>
      </c>
      <c r="G140">
        <v>68</v>
      </c>
      <c r="H140" t="s">
        <v>16</v>
      </c>
    </row>
    <row r="141" spans="1:8" x14ac:dyDescent="0.25">
      <c r="A141" t="s">
        <v>248</v>
      </c>
      <c r="B141" t="s">
        <v>89</v>
      </c>
      <c r="C141" t="s">
        <v>18</v>
      </c>
      <c r="D141" t="s">
        <v>31</v>
      </c>
      <c r="E141" s="3">
        <v>42932</v>
      </c>
      <c r="F141" s="14">
        <v>65065</v>
      </c>
      <c r="G141">
        <v>98</v>
      </c>
      <c r="H141" t="s">
        <v>43</v>
      </c>
    </row>
    <row r="142" spans="1:8" x14ac:dyDescent="0.25">
      <c r="A142" t="s">
        <v>249</v>
      </c>
      <c r="B142" t="s">
        <v>100</v>
      </c>
      <c r="C142" t="s">
        <v>14</v>
      </c>
      <c r="D142" t="s">
        <v>42</v>
      </c>
      <c r="E142" s="3">
        <v>42175</v>
      </c>
      <c r="F142" s="14">
        <v>83604</v>
      </c>
      <c r="G142">
        <v>94</v>
      </c>
      <c r="H142" t="s">
        <v>110</v>
      </c>
    </row>
    <row r="143" spans="1:8" x14ac:dyDescent="0.25">
      <c r="A143" t="s">
        <v>250</v>
      </c>
      <c r="B143" t="s">
        <v>100</v>
      </c>
      <c r="C143" t="s">
        <v>14</v>
      </c>
      <c r="D143" t="s">
        <v>35</v>
      </c>
      <c r="E143" s="3">
        <v>43609</v>
      </c>
      <c r="F143" s="14">
        <v>108119</v>
      </c>
      <c r="G143">
        <v>57</v>
      </c>
      <c r="H143" t="s">
        <v>110</v>
      </c>
    </row>
    <row r="144" spans="1:8" x14ac:dyDescent="0.25">
      <c r="A144" t="s">
        <v>251</v>
      </c>
      <c r="B144" t="s">
        <v>22</v>
      </c>
      <c r="C144" t="s">
        <v>61</v>
      </c>
      <c r="D144" t="s">
        <v>80</v>
      </c>
      <c r="E144" s="3">
        <v>43887</v>
      </c>
      <c r="F144" s="14">
        <v>83604</v>
      </c>
      <c r="G144">
        <v>96</v>
      </c>
      <c r="H144" t="s">
        <v>11</v>
      </c>
    </row>
    <row r="145" spans="1:8" x14ac:dyDescent="0.25">
      <c r="A145" t="s">
        <v>252</v>
      </c>
      <c r="B145" t="s">
        <v>13</v>
      </c>
      <c r="C145" t="s">
        <v>61</v>
      </c>
      <c r="D145" t="s">
        <v>92</v>
      </c>
      <c r="E145" s="3">
        <v>44991</v>
      </c>
      <c r="F145" s="14">
        <v>106896</v>
      </c>
      <c r="G145">
        <v>52</v>
      </c>
      <c r="H145" t="s">
        <v>20</v>
      </c>
    </row>
    <row r="146" spans="1:8" x14ac:dyDescent="0.25">
      <c r="A146" t="s">
        <v>253</v>
      </c>
      <c r="C146" t="s">
        <v>57</v>
      </c>
      <c r="D146" t="s">
        <v>19</v>
      </c>
      <c r="E146" s="3" t="s">
        <v>254</v>
      </c>
      <c r="F146" s="14">
        <v>112887</v>
      </c>
      <c r="G146">
        <v>59</v>
      </c>
      <c r="H146" t="s">
        <v>48</v>
      </c>
    </row>
    <row r="147" spans="1:8" x14ac:dyDescent="0.25">
      <c r="A147" t="s">
        <v>255</v>
      </c>
      <c r="B147" t="s">
        <v>150</v>
      </c>
      <c r="C147" t="s">
        <v>39</v>
      </c>
      <c r="D147" t="s">
        <v>24</v>
      </c>
      <c r="E147" s="3">
        <v>45037</v>
      </c>
      <c r="F147" s="14">
        <v>85457</v>
      </c>
      <c r="G147">
        <v>79</v>
      </c>
      <c r="H147" t="s">
        <v>16</v>
      </c>
    </row>
    <row r="148" spans="1:8" x14ac:dyDescent="0.25">
      <c r="A148" t="s">
        <v>256</v>
      </c>
      <c r="B148" t="s">
        <v>100</v>
      </c>
      <c r="C148" t="s">
        <v>45</v>
      </c>
      <c r="D148" t="s">
        <v>46</v>
      </c>
      <c r="E148" s="3">
        <v>42519</v>
      </c>
      <c r="F148" s="14">
        <v>62798</v>
      </c>
      <c r="G148">
        <v>30</v>
      </c>
      <c r="H148" t="s">
        <v>16</v>
      </c>
    </row>
    <row r="149" spans="1:8" x14ac:dyDescent="0.25">
      <c r="A149" t="s">
        <v>257</v>
      </c>
      <c r="B149" t="s">
        <v>8</v>
      </c>
      <c r="C149" t="s">
        <v>23</v>
      </c>
      <c r="D149" t="s">
        <v>31</v>
      </c>
      <c r="E149" s="3">
        <v>44711</v>
      </c>
      <c r="F149" s="14">
        <v>47794</v>
      </c>
      <c r="G149">
        <v>73</v>
      </c>
      <c r="H149" t="s">
        <v>20</v>
      </c>
    </row>
    <row r="150" spans="1:8" x14ac:dyDescent="0.25">
      <c r="A150" t="s">
        <v>258</v>
      </c>
      <c r="B150" t="s">
        <v>63</v>
      </c>
      <c r="C150" t="s">
        <v>39</v>
      </c>
      <c r="D150" t="s">
        <v>15</v>
      </c>
      <c r="E150" s="3" t="s">
        <v>259</v>
      </c>
      <c r="F150" s="14">
        <v>93094</v>
      </c>
      <c r="G150">
        <v>74</v>
      </c>
      <c r="H150" t="s">
        <v>11</v>
      </c>
    </row>
    <row r="151" spans="1:8" x14ac:dyDescent="0.25">
      <c r="A151" t="s">
        <v>260</v>
      </c>
      <c r="B151" t="s">
        <v>68</v>
      </c>
      <c r="C151" t="s">
        <v>9</v>
      </c>
      <c r="D151" t="s">
        <v>10</v>
      </c>
      <c r="E151" s="3">
        <v>44848</v>
      </c>
      <c r="F151" s="14">
        <v>118634</v>
      </c>
      <c r="G151">
        <v>91</v>
      </c>
      <c r="H151"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7"/>
  <sheetViews>
    <sheetView workbookViewId="0"/>
  </sheetViews>
  <sheetFormatPr defaultRowHeight="15" x14ac:dyDescent="0.25"/>
  <cols>
    <col min="1" max="1" width="10.85546875" bestFit="1" customWidth="1"/>
    <col min="2" max="2" width="22.5703125" bestFit="1" customWidth="1"/>
  </cols>
  <sheetData>
    <row r="1" spans="1:2" x14ac:dyDescent="0.25">
      <c r="A1" s="1" t="s">
        <v>261</v>
      </c>
      <c r="B1" s="1" t="s">
        <v>262</v>
      </c>
    </row>
    <row r="2" spans="1:2" x14ac:dyDescent="0.25">
      <c r="A2" t="s">
        <v>92</v>
      </c>
      <c r="B2" t="s">
        <v>263</v>
      </c>
    </row>
    <row r="3" spans="1:2" x14ac:dyDescent="0.25">
      <c r="A3" t="s">
        <v>10</v>
      </c>
      <c r="B3" t="s">
        <v>264</v>
      </c>
    </row>
    <row r="4" spans="1:2" x14ac:dyDescent="0.25">
      <c r="A4" t="s">
        <v>24</v>
      </c>
      <c r="B4" t="s">
        <v>265</v>
      </c>
    </row>
    <row r="5" spans="1:2" x14ac:dyDescent="0.25">
      <c r="A5" t="s">
        <v>15</v>
      </c>
      <c r="B5" t="s">
        <v>266</v>
      </c>
    </row>
    <row r="6" spans="1:2" x14ac:dyDescent="0.25">
      <c r="A6" t="s">
        <v>42</v>
      </c>
      <c r="B6" t="s">
        <v>267</v>
      </c>
    </row>
    <row r="7" spans="1:2" x14ac:dyDescent="0.25">
      <c r="A7" t="s">
        <v>31</v>
      </c>
      <c r="B7" t="s">
        <v>268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D6"/>
  <sheetViews>
    <sheetView workbookViewId="0">
      <selection activeCell="C7" sqref="C7"/>
    </sheetView>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269</v>
      </c>
      <c r="B1" s="1" t="s">
        <v>270</v>
      </c>
      <c r="C1" s="1" t="s">
        <v>271</v>
      </c>
      <c r="D1" s="1" t="s">
        <v>272</v>
      </c>
    </row>
    <row r="2" spans="1:4" x14ac:dyDescent="0.25">
      <c r="A2">
        <v>0</v>
      </c>
      <c r="B2">
        <v>49</v>
      </c>
      <c r="C2" t="s">
        <v>273</v>
      </c>
      <c r="D2">
        <v>0</v>
      </c>
    </row>
    <row r="3" spans="1:4" x14ac:dyDescent="0.25">
      <c r="A3">
        <v>50</v>
      </c>
      <c r="B3">
        <v>69</v>
      </c>
      <c r="C3" t="s">
        <v>274</v>
      </c>
      <c r="D3">
        <v>0.02</v>
      </c>
    </row>
    <row r="4" spans="1:4" x14ac:dyDescent="0.25">
      <c r="A4">
        <v>70</v>
      </c>
      <c r="B4">
        <v>84</v>
      </c>
      <c r="C4" t="s">
        <v>275</v>
      </c>
      <c r="D4">
        <v>0.05</v>
      </c>
    </row>
    <row r="5" spans="1:4" x14ac:dyDescent="0.25">
      <c r="A5">
        <v>85</v>
      </c>
      <c r="B5">
        <v>94</v>
      </c>
      <c r="C5" t="s">
        <v>276</v>
      </c>
      <c r="D5">
        <v>0.08</v>
      </c>
    </row>
    <row r="6" spans="1:4" x14ac:dyDescent="0.25">
      <c r="A6">
        <v>95</v>
      </c>
      <c r="B6">
        <v>100</v>
      </c>
      <c r="C6" t="s">
        <v>277</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CAEF-09BA-4427-8CDD-B397C12545F3}">
  <sheetPr>
    <tabColor theme="7" tint="-0.249977111117893"/>
  </sheetPr>
  <dimension ref="A1:Q151"/>
  <sheetViews>
    <sheetView topLeftCell="K1" workbookViewId="0">
      <selection activeCell="Q2" sqref="Q2"/>
    </sheetView>
  </sheetViews>
  <sheetFormatPr defaultRowHeight="15" x14ac:dyDescent="0.25"/>
  <cols>
    <col min="1" max="1" width="9.28515625" customWidth="1"/>
    <col min="2" max="2" width="20.7109375" customWidth="1"/>
    <col min="3" max="3" width="10.7109375" customWidth="1"/>
    <col min="4" max="4" width="18.28515625" bestFit="1" customWidth="1"/>
    <col min="5" max="5" width="22.5703125" bestFit="1" customWidth="1"/>
    <col min="6" max="6" width="18.85546875" customWidth="1"/>
    <col min="7" max="7" width="10.28515625" hidden="1" customWidth="1"/>
    <col min="8" max="8" width="11.42578125" style="3" customWidth="1"/>
    <col min="9" max="9" width="16.28515625" style="21" customWidth="1"/>
    <col min="10" max="10" width="29.28515625" style="3" customWidth="1"/>
    <col min="11" max="11" width="11.140625" style="2" bestFit="1" customWidth="1"/>
    <col min="12" max="12" width="19.85546875" customWidth="1"/>
    <col min="13" max="13" width="17.28515625" customWidth="1"/>
    <col min="14" max="14" width="21.28515625" customWidth="1"/>
    <col min="15" max="15" width="19.5703125" bestFit="1" customWidth="1"/>
    <col min="16" max="16" width="19" style="11" customWidth="1"/>
    <col min="17" max="17" width="23.140625" customWidth="1"/>
  </cols>
  <sheetData>
    <row r="1" spans="1:17" s="9" customFormat="1" x14ac:dyDescent="0.25">
      <c r="A1" s="5" t="s">
        <v>0</v>
      </c>
      <c r="B1" s="5" t="s">
        <v>1</v>
      </c>
      <c r="C1" s="5" t="s">
        <v>2</v>
      </c>
      <c r="D1" s="5" t="s">
        <v>279</v>
      </c>
      <c r="E1" s="5" t="s">
        <v>280</v>
      </c>
      <c r="F1" s="5" t="s">
        <v>278</v>
      </c>
      <c r="G1" s="5" t="s">
        <v>3</v>
      </c>
      <c r="H1" s="6" t="s">
        <v>4</v>
      </c>
      <c r="I1" s="20" t="s">
        <v>285</v>
      </c>
      <c r="J1" s="6" t="s">
        <v>286</v>
      </c>
      <c r="K1" s="7" t="s">
        <v>5</v>
      </c>
      <c r="L1" s="5" t="s">
        <v>282</v>
      </c>
      <c r="M1" s="5" t="s">
        <v>6</v>
      </c>
      <c r="N1" s="8" t="s">
        <v>294</v>
      </c>
      <c r="O1" s="4" t="s">
        <v>281</v>
      </c>
      <c r="P1" s="10" t="s">
        <v>283</v>
      </c>
      <c r="Q1" s="4" t="s">
        <v>284</v>
      </c>
    </row>
    <row r="2" spans="1:17" x14ac:dyDescent="0.25">
      <c r="A2" t="s">
        <v>7</v>
      </c>
      <c r="B2" t="s">
        <v>8</v>
      </c>
      <c r="C2" t="s">
        <v>9</v>
      </c>
      <c r="D2" t="str">
        <f>IF(AND(ISBLANK(B2), ISBLANK(C2)), "- -", IF(ISBLANK(B2), "- " &amp; TRIM(PROPER(C2)), IF(ISBLANK(C2), TRIM(PROPER(B2)) &amp; " -", _xlfn.TEXTJOIN(" ", TRUE, TRIM(PROPER(B2)), TRIM(PROPER(C2))))))</f>
        <v>Emily Brown</v>
      </c>
      <c r="E2" t="str">
        <f>_xlfn.XLOOKUP(F2, Lookup_Departments!$A$2:$A$7, Lookup_Departments!$B$2:$B$7, "Unknown")</f>
        <v>Information Technology</v>
      </c>
      <c r="F2" t="str">
        <f>UPPER(TRIM(G2))</f>
        <v>IT02</v>
      </c>
      <c r="G2" t="s">
        <v>10</v>
      </c>
      <c r="H2" s="3">
        <f>DATEVALUE(TEXT(J2, "dd-mmm-yyyy"))</f>
        <v>43093</v>
      </c>
      <c r="I2" s="21">
        <f ca="1">DATEDIF(H2, TODAY(), "Y")</f>
        <v>8</v>
      </c>
      <c r="J2" s="3">
        <v>43093</v>
      </c>
      <c r="K2" s="2">
        <v>50361</v>
      </c>
      <c r="L2">
        <v>52</v>
      </c>
      <c r="M2" t="s">
        <v>11</v>
      </c>
      <c r="N2" t="str" cm="1">
        <f t="array" ref="N2">_xlfn.SWITCH(TRIM(PROPER(M2)), "Active", "Active", "Actv", "Active", "Left", "Left", "Resigned", "Left", "Unknown")</f>
        <v>Active</v>
      </c>
      <c r="O2" t="str">
        <f>_xlfn.XLOOKUP(L2, Lookup_Performance!$A$2:$A$6, Lookup_Performance!$C$2:$C$6, "No Score", -1)</f>
        <v>Developing</v>
      </c>
      <c r="P2" s="11">
        <f>_xlfn.XLOOKUP(L2, Lookup_Performance!$A$2:$A$6, Lookup_Performance!$D$2:$D$6, 0, -1)</f>
        <v>0.02</v>
      </c>
      <c r="Q2" s="2">
        <f>K2*P2</f>
        <v>1007.22</v>
      </c>
    </row>
    <row r="3" spans="1:17" x14ac:dyDescent="0.25">
      <c r="A3" t="s">
        <v>12</v>
      </c>
      <c r="B3" t="s">
        <v>13</v>
      </c>
      <c r="C3" t="s">
        <v>14</v>
      </c>
      <c r="D3" t="str">
        <f t="shared" ref="D3:D66" si="0">IF(AND(ISBLANK(B3), ISBLANK(C3)), "- -", IF(ISBLANK(B3), "- " &amp; TRIM(PROPER(C3)), IF(ISBLANK(C3), TRIM(PROPER(B3)) &amp; " -", _xlfn.TEXTJOIN(" ", TRUE, TRIM(PROPER(B3)), TRIM(PROPER(C3))))))</f>
        <v>Richard Hernandez</v>
      </c>
      <c r="E3" t="str">
        <f>_xlfn.XLOOKUP(F3, Lookup_Departments!$A$2:$A$7, Lookup_Departments!$B$2:$B$7, "Unknown")</f>
        <v>Marketing</v>
      </c>
      <c r="F3" t="str">
        <f t="shared" ref="F3:F66" si="1">UPPER(TRIM(G3))</f>
        <v>MKT04</v>
      </c>
      <c r="G3" t="s">
        <v>15</v>
      </c>
      <c r="H3" s="3">
        <f t="shared" ref="H3:H66" si="2">DATEVALUE(TEXT(J3, "dd-mmm-yyyy"))</f>
        <v>44659</v>
      </c>
      <c r="I3" s="21">
        <f t="shared" ref="I3:I66" ca="1" si="3">DATEDIF(H3, TODAY(), "Y")</f>
        <v>4</v>
      </c>
      <c r="J3" s="3">
        <v>44659</v>
      </c>
      <c r="K3" s="2">
        <v>112673</v>
      </c>
      <c r="L3">
        <v>70</v>
      </c>
      <c r="M3" t="s">
        <v>16</v>
      </c>
      <c r="N3" t="str" cm="1">
        <f t="array" ref="N3">_xlfn.SWITCH(TRIM(PROPER(M3)), "Active", "Active", "Actv", "Active", "Left", "Left", "Resigned", "Left", "Unknown")</f>
        <v>Active</v>
      </c>
      <c r="O3" t="str">
        <f>_xlfn.XLOOKUP(L3, Lookup_Performance!$A$2:$A$6, Lookup_Performance!$C$2:$C$6, "No Score", -1)</f>
        <v>Achieving</v>
      </c>
      <c r="P3" s="11">
        <f>_xlfn.XLOOKUP(L3, Lookup_Performance!$A$2:$A$6, Lookup_Performance!$D$2:$D$6, 0, -1)</f>
        <v>0.05</v>
      </c>
      <c r="Q3" s="2">
        <f>K3*P3</f>
        <v>5633.6500000000005</v>
      </c>
    </row>
    <row r="4" spans="1:17" x14ac:dyDescent="0.25">
      <c r="A4" t="s">
        <v>17</v>
      </c>
      <c r="B4" t="s">
        <v>8</v>
      </c>
      <c r="C4" t="s">
        <v>18</v>
      </c>
      <c r="D4" t="str">
        <f t="shared" si="0"/>
        <v>Emily Gonzalez</v>
      </c>
      <c r="E4" t="str">
        <f>_xlfn.XLOOKUP(F4, Lookup_Departments!$A$2:$A$7, Lookup_Departments!$B$2:$B$7, "Unknown")</f>
        <v>Information Technology</v>
      </c>
      <c r="F4" t="str">
        <f t="shared" si="1"/>
        <v>IT02</v>
      </c>
      <c r="G4" t="s">
        <v>19</v>
      </c>
      <c r="H4" s="3">
        <f t="shared" si="2"/>
        <v>42431</v>
      </c>
      <c r="I4" s="21">
        <f t="shared" ca="1" si="3"/>
        <v>10</v>
      </c>
      <c r="J4" s="3">
        <v>42431</v>
      </c>
      <c r="K4" s="2">
        <v>114425</v>
      </c>
      <c r="L4">
        <v>54</v>
      </c>
      <c r="M4" t="s">
        <v>20</v>
      </c>
      <c r="N4" t="str" cm="1">
        <f t="array" ref="N4">_xlfn.SWITCH(TRIM(PROPER(M4)), "Active", "Active", "Actv", "Active", "Left", "Left", "Resigned", "Left", "Unknown")</f>
        <v>Left</v>
      </c>
      <c r="O4" t="str">
        <f>_xlfn.XLOOKUP(L4, Lookup_Performance!$A$2:$A$6, Lookup_Performance!$C$2:$C$6, "No Score", -1)</f>
        <v>Developing</v>
      </c>
      <c r="P4" s="11">
        <f>_xlfn.XLOOKUP(L4, Lookup_Performance!$A$2:$A$6, Lookup_Performance!$D$2:$D$6, 0, -1)</f>
        <v>0.02</v>
      </c>
      <c r="Q4" s="2">
        <f>K4*P4</f>
        <v>2288.5</v>
      </c>
    </row>
    <row r="5" spans="1:17" x14ac:dyDescent="0.25">
      <c r="A5" t="s">
        <v>21</v>
      </c>
      <c r="B5" t="s">
        <v>22</v>
      </c>
      <c r="C5" t="s">
        <v>23</v>
      </c>
      <c r="D5" t="str">
        <f t="shared" si="0"/>
        <v>John Martinez</v>
      </c>
      <c r="E5" t="str">
        <f>_xlfn.XLOOKUP(F5, Lookup_Departments!$A$2:$A$7, Lookup_Departments!$B$2:$B$7, "Unknown")</f>
        <v>Finance</v>
      </c>
      <c r="F5" t="str">
        <f t="shared" si="1"/>
        <v>FIN03</v>
      </c>
      <c r="G5" t="s">
        <v>24</v>
      </c>
      <c r="H5" s="3">
        <f t="shared" si="2"/>
        <v>45110</v>
      </c>
      <c r="I5" s="21">
        <f t="shared" ca="1" si="3"/>
        <v>3</v>
      </c>
      <c r="J5" s="3">
        <v>45110</v>
      </c>
      <c r="K5" s="2">
        <v>103831</v>
      </c>
      <c r="L5">
        <v>70</v>
      </c>
      <c r="M5" t="s">
        <v>11</v>
      </c>
      <c r="N5" t="str" cm="1">
        <f t="array" ref="N5">_xlfn.SWITCH(TRIM(PROPER(M5)), "Active", "Active", "Actv", "Active", "Left", "Left", "Resigned", "Left", "Unknown")</f>
        <v>Active</v>
      </c>
      <c r="O5" t="str">
        <f>_xlfn.XLOOKUP(L5, Lookup_Performance!$A$2:$A$6, Lookup_Performance!$C$2:$C$6, "No Score", -1)</f>
        <v>Achieving</v>
      </c>
      <c r="P5" s="11">
        <f>_xlfn.XLOOKUP(L5, Lookup_Performance!$A$2:$A$6, Lookup_Performance!$D$2:$D$6, 0, -1)</f>
        <v>0.05</v>
      </c>
      <c r="Q5" s="2">
        <f>K5*P5</f>
        <v>5191.55</v>
      </c>
    </row>
    <row r="6" spans="1:17" x14ac:dyDescent="0.25">
      <c r="A6" t="s">
        <v>25</v>
      </c>
      <c r="B6" t="s">
        <v>26</v>
      </c>
      <c r="C6" t="s">
        <v>27</v>
      </c>
      <c r="D6" t="str">
        <f t="shared" si="0"/>
        <v>Thomas Smith</v>
      </c>
      <c r="E6" t="str">
        <f>_xlfn.XLOOKUP(F6, Lookup_Departments!$A$2:$A$7, Lookup_Departments!$B$2:$B$7, "Unknown")</f>
        <v>Information Technology</v>
      </c>
      <c r="F6" t="str">
        <f t="shared" si="1"/>
        <v>IT02</v>
      </c>
      <c r="G6" t="s">
        <v>10</v>
      </c>
      <c r="H6" s="3">
        <f t="shared" si="2"/>
        <v>44977</v>
      </c>
      <c r="I6" s="21">
        <f t="shared" ca="1" si="3"/>
        <v>3</v>
      </c>
      <c r="J6" s="3">
        <v>44977</v>
      </c>
      <c r="K6" s="2">
        <v>73785</v>
      </c>
      <c r="L6">
        <v>40</v>
      </c>
      <c r="M6" t="s">
        <v>28</v>
      </c>
      <c r="N6" t="str" cm="1">
        <f t="array" ref="N6">_xlfn.SWITCH(TRIM(PROPER(M6)), "Active", "Active", "Actv", "Active", "Left", "Left", "Resigned", "Left", "Unknown")</f>
        <v>Left</v>
      </c>
      <c r="O6" t="str">
        <f>_xlfn.XLOOKUP(L6, Lookup_Performance!$A$2:$A$6, Lookup_Performance!$C$2:$C$6, "No Score", -1)</f>
        <v>Needs Improvement</v>
      </c>
      <c r="P6" s="11">
        <f>_xlfn.XLOOKUP(L6, Lookup_Performance!$A$2:$A$6, Lookup_Performance!$D$2:$D$6, 0, -1)</f>
        <v>0</v>
      </c>
      <c r="Q6" s="2">
        <f>K6*P6</f>
        <v>0</v>
      </c>
    </row>
    <row r="7" spans="1:17" x14ac:dyDescent="0.25">
      <c r="A7" t="s">
        <v>29</v>
      </c>
      <c r="B7" t="s">
        <v>8</v>
      </c>
      <c r="C7" t="s">
        <v>30</v>
      </c>
      <c r="D7" t="str">
        <f t="shared" si="0"/>
        <v>Emily Johnson</v>
      </c>
      <c r="E7" t="str">
        <f>_xlfn.XLOOKUP(F7, Lookup_Departments!$A$2:$A$7, Lookup_Departments!$B$2:$B$7, "Unknown")</f>
        <v>Operations</v>
      </c>
      <c r="F7" t="str">
        <f t="shared" si="1"/>
        <v>OPS06</v>
      </c>
      <c r="G7" t="s">
        <v>31</v>
      </c>
      <c r="H7" s="3">
        <f t="shared" si="2"/>
        <v>43892</v>
      </c>
      <c r="I7" s="21">
        <f t="shared" ca="1" si="3"/>
        <v>6</v>
      </c>
      <c r="J7" s="3" t="s">
        <v>32</v>
      </c>
      <c r="K7" s="2">
        <v>115882</v>
      </c>
      <c r="L7">
        <v>49</v>
      </c>
      <c r="M7" t="s">
        <v>16</v>
      </c>
      <c r="N7" t="str" cm="1">
        <f t="array" ref="N7">_xlfn.SWITCH(TRIM(PROPER(M7)), "Active", "Active", "Actv", "Active", "Left", "Left", "Resigned", "Left", "Unknown")</f>
        <v>Active</v>
      </c>
      <c r="O7" t="str">
        <f>_xlfn.XLOOKUP(L7, Lookup_Performance!$A$2:$A$6, Lookup_Performance!$C$2:$C$6, "No Score", -1)</f>
        <v>Needs Improvement</v>
      </c>
      <c r="P7" s="11">
        <f>_xlfn.XLOOKUP(L7, Lookup_Performance!$A$2:$A$6, Lookup_Performance!$D$2:$D$6, 0, -1)</f>
        <v>0</v>
      </c>
      <c r="Q7" s="2">
        <f>K7*P7</f>
        <v>0</v>
      </c>
    </row>
    <row r="8" spans="1:17" x14ac:dyDescent="0.25">
      <c r="A8" t="s">
        <v>33</v>
      </c>
      <c r="B8" t="s">
        <v>22</v>
      </c>
      <c r="C8" t="s">
        <v>34</v>
      </c>
      <c r="D8" t="str">
        <f t="shared" si="0"/>
        <v>John Wilson</v>
      </c>
      <c r="E8" t="str">
        <f>_xlfn.XLOOKUP(F8, Lookup_Departments!$A$2:$A$7, Lookup_Departments!$B$2:$B$7, "Unknown")</f>
        <v>Operations</v>
      </c>
      <c r="F8" t="str">
        <f t="shared" si="1"/>
        <v>OPS06</v>
      </c>
      <c r="G8" t="s">
        <v>35</v>
      </c>
      <c r="H8" s="3">
        <f t="shared" si="2"/>
        <v>45272</v>
      </c>
      <c r="I8" s="21">
        <f t="shared" ca="1" si="3"/>
        <v>2</v>
      </c>
      <c r="J8" s="3">
        <v>45272</v>
      </c>
      <c r="K8" s="2">
        <v>59980</v>
      </c>
      <c r="L8">
        <v>70</v>
      </c>
      <c r="M8" t="s">
        <v>28</v>
      </c>
      <c r="N8" t="str" cm="1">
        <f t="array" ref="N8">_xlfn.SWITCH(TRIM(PROPER(M8)), "Active", "Active", "Actv", "Active", "Left", "Left", "Resigned", "Left", "Unknown")</f>
        <v>Left</v>
      </c>
      <c r="O8" t="str">
        <f>_xlfn.XLOOKUP(L8, Lookup_Performance!$A$2:$A$6, Lookup_Performance!$C$2:$C$6, "No Score", -1)</f>
        <v>Achieving</v>
      </c>
      <c r="P8" s="11">
        <f>_xlfn.XLOOKUP(L8, Lookup_Performance!$A$2:$A$6, Lookup_Performance!$D$2:$D$6, 0, -1)</f>
        <v>0.05</v>
      </c>
      <c r="Q8" s="2">
        <f>K8*P8</f>
        <v>2999</v>
      </c>
    </row>
    <row r="9" spans="1:17" x14ac:dyDescent="0.25">
      <c r="A9" t="s">
        <v>36</v>
      </c>
      <c r="B9" t="s">
        <v>37</v>
      </c>
      <c r="C9" t="s">
        <v>27</v>
      </c>
      <c r="D9" t="str">
        <f t="shared" si="0"/>
        <v>Jessica Smith</v>
      </c>
      <c r="E9" t="str">
        <f>_xlfn.XLOOKUP(F9, Lookup_Departments!$A$2:$A$7, Lookup_Departments!$B$2:$B$7, "Unknown")</f>
        <v>Operations</v>
      </c>
      <c r="F9" t="str">
        <f t="shared" si="1"/>
        <v>OPS06</v>
      </c>
      <c r="G9" t="s">
        <v>35</v>
      </c>
      <c r="H9" s="3">
        <f t="shared" si="2"/>
        <v>44174</v>
      </c>
      <c r="I9" s="21">
        <f t="shared" ca="1" si="3"/>
        <v>5</v>
      </c>
      <c r="J9" s="3">
        <v>44174</v>
      </c>
      <c r="K9" s="2">
        <v>68728</v>
      </c>
      <c r="L9">
        <v>45</v>
      </c>
      <c r="M9" t="s">
        <v>16</v>
      </c>
      <c r="N9" t="str" cm="1">
        <f t="array" ref="N9">_xlfn.SWITCH(TRIM(PROPER(M9)), "Active", "Active", "Actv", "Active", "Left", "Left", "Resigned", "Left", "Unknown")</f>
        <v>Active</v>
      </c>
      <c r="O9" t="str">
        <f>_xlfn.XLOOKUP(L9, Lookup_Performance!$A$2:$A$6, Lookup_Performance!$C$2:$C$6, "No Score", -1)</f>
        <v>Needs Improvement</v>
      </c>
      <c r="P9" s="11">
        <f>_xlfn.XLOOKUP(L9, Lookup_Performance!$A$2:$A$6, Lookup_Performance!$D$2:$D$6, 0, -1)</f>
        <v>0</v>
      </c>
      <c r="Q9" s="2">
        <f>K9*P9</f>
        <v>0</v>
      </c>
    </row>
    <row r="10" spans="1:17" x14ac:dyDescent="0.25">
      <c r="A10" t="s">
        <v>38</v>
      </c>
      <c r="C10" t="s">
        <v>39</v>
      </c>
      <c r="D10" t="str">
        <f t="shared" si="0"/>
        <v>- Rodriguez</v>
      </c>
      <c r="E10" t="str">
        <f>_xlfn.XLOOKUP(F10, Lookup_Departments!$A$2:$A$7, Lookup_Departments!$B$2:$B$7, "Unknown")</f>
        <v>Finance</v>
      </c>
      <c r="F10" t="str">
        <f t="shared" si="1"/>
        <v>FIN03</v>
      </c>
      <c r="G10" t="s">
        <v>24</v>
      </c>
      <c r="H10" s="3">
        <f t="shared" si="2"/>
        <v>43107</v>
      </c>
      <c r="I10" s="21">
        <f t="shared" ca="1" si="3"/>
        <v>8</v>
      </c>
      <c r="J10" s="3">
        <v>43107</v>
      </c>
      <c r="K10" s="2">
        <v>102139</v>
      </c>
      <c r="L10">
        <v>79</v>
      </c>
      <c r="M10" t="s">
        <v>11</v>
      </c>
      <c r="N10" t="str" cm="1">
        <f t="array" ref="N10">_xlfn.SWITCH(TRIM(PROPER(M10)), "Active", "Active", "Actv", "Active", "Left", "Left", "Resigned", "Left", "Unknown")</f>
        <v>Active</v>
      </c>
      <c r="O10" t="str">
        <f>_xlfn.XLOOKUP(L10, Lookup_Performance!$A$2:$A$6, Lookup_Performance!$C$2:$C$6, "No Score", -1)</f>
        <v>Achieving</v>
      </c>
      <c r="P10" s="11">
        <f>_xlfn.XLOOKUP(L10, Lookup_Performance!$A$2:$A$6, Lookup_Performance!$D$2:$D$6, 0, -1)</f>
        <v>0.05</v>
      </c>
      <c r="Q10" s="2">
        <f>K10*P10</f>
        <v>5106.9500000000007</v>
      </c>
    </row>
    <row r="11" spans="1:17" x14ac:dyDescent="0.25">
      <c r="A11" t="s">
        <v>40</v>
      </c>
      <c r="B11" t="s">
        <v>41</v>
      </c>
      <c r="C11" t="s">
        <v>23</v>
      </c>
      <c r="D11" t="str">
        <f t="shared" si="0"/>
        <v>Michael Martinez</v>
      </c>
      <c r="E11" t="str">
        <f>_xlfn.XLOOKUP(F11, Lookup_Departments!$A$2:$A$7, Lookup_Departments!$B$2:$B$7, "Unknown")</f>
        <v>Sales</v>
      </c>
      <c r="F11" t="str">
        <f t="shared" si="1"/>
        <v>SAL05</v>
      </c>
      <c r="G11" t="s">
        <v>42</v>
      </c>
      <c r="H11" s="3">
        <f t="shared" si="2"/>
        <v>42676</v>
      </c>
      <c r="I11" s="21">
        <f ca="1">DATEDIF(H11, TODAY(), "Y")</f>
        <v>9</v>
      </c>
      <c r="J11" s="3">
        <v>42676</v>
      </c>
      <c r="K11" s="2">
        <v>94998</v>
      </c>
      <c r="L11">
        <v>58</v>
      </c>
      <c r="M11" t="s">
        <v>43</v>
      </c>
      <c r="N11" t="str" cm="1">
        <f t="array" ref="N11">_xlfn.SWITCH(TRIM(PROPER(M11)), "Active", "Active", "Actv", "Active", "Left", "Left", "Resigned", "Left", "Unknown")</f>
        <v>Active</v>
      </c>
      <c r="O11" t="str">
        <f>_xlfn.XLOOKUP(L11, Lookup_Performance!$A$2:$A$6, Lookup_Performance!$C$2:$C$6, "No Score", -1)</f>
        <v>Developing</v>
      </c>
      <c r="P11" s="11">
        <f>_xlfn.XLOOKUP(L11, Lookup_Performance!$A$2:$A$6, Lookup_Performance!$D$2:$D$6, 0, -1)</f>
        <v>0.02</v>
      </c>
      <c r="Q11" s="2">
        <f>K11*P11</f>
        <v>1899.96</v>
      </c>
    </row>
    <row r="12" spans="1:17" x14ac:dyDescent="0.25">
      <c r="A12" t="s">
        <v>44</v>
      </c>
      <c r="B12" t="s">
        <v>8</v>
      </c>
      <c r="C12" t="s">
        <v>45</v>
      </c>
      <c r="D12" t="str">
        <f t="shared" si="0"/>
        <v>Emily Miller</v>
      </c>
      <c r="E12" t="str">
        <f>_xlfn.XLOOKUP(F12, Lookup_Departments!$A$2:$A$7, Lookup_Departments!$B$2:$B$7, "Unknown")</f>
        <v>Sales</v>
      </c>
      <c r="F12" t="str">
        <f t="shared" si="1"/>
        <v>SAL05</v>
      </c>
      <c r="G12" t="s">
        <v>46</v>
      </c>
      <c r="H12" s="3">
        <f t="shared" si="2"/>
        <v>43911</v>
      </c>
      <c r="I12" s="21">
        <f t="shared" ca="1" si="3"/>
        <v>6</v>
      </c>
      <c r="J12" s="3">
        <v>43911</v>
      </c>
      <c r="K12" s="2">
        <v>118635</v>
      </c>
      <c r="L12">
        <v>49</v>
      </c>
      <c r="M12" t="s">
        <v>43</v>
      </c>
      <c r="N12" t="str" cm="1">
        <f t="array" ref="N12">_xlfn.SWITCH(TRIM(PROPER(M12)), "Active", "Active", "Actv", "Active", "Left", "Left", "Resigned", "Left", "Unknown")</f>
        <v>Active</v>
      </c>
      <c r="O12" t="str">
        <f>_xlfn.XLOOKUP(L12, Lookup_Performance!$A$2:$A$6, Lookup_Performance!$C$2:$C$6, "No Score", -1)</f>
        <v>Needs Improvement</v>
      </c>
      <c r="P12" s="11">
        <f>_xlfn.XLOOKUP(L12, Lookup_Performance!$A$2:$A$6, Lookup_Performance!$D$2:$D$6, 0, -1)</f>
        <v>0</v>
      </c>
      <c r="Q12" s="2">
        <f>K12*P12</f>
        <v>0</v>
      </c>
    </row>
    <row r="13" spans="1:17" x14ac:dyDescent="0.25">
      <c r="A13" t="s">
        <v>47</v>
      </c>
      <c r="B13" t="s">
        <v>8</v>
      </c>
      <c r="C13" t="s">
        <v>14</v>
      </c>
      <c r="D13" t="str">
        <f t="shared" si="0"/>
        <v>Emily Hernandez</v>
      </c>
      <c r="E13" t="str">
        <f>_xlfn.XLOOKUP(F13, Lookup_Departments!$A$2:$A$7, Lookup_Departments!$B$2:$B$7, "Unknown")</f>
        <v>Information Technology</v>
      </c>
      <c r="F13" t="str">
        <f t="shared" si="1"/>
        <v>IT02</v>
      </c>
      <c r="G13" t="s">
        <v>10</v>
      </c>
      <c r="H13" s="3">
        <f t="shared" si="2"/>
        <v>42425</v>
      </c>
      <c r="I13" s="21">
        <f t="shared" ca="1" si="3"/>
        <v>10</v>
      </c>
      <c r="J13" s="3">
        <v>42425</v>
      </c>
      <c r="K13" s="2">
        <v>76918</v>
      </c>
      <c r="L13">
        <v>62</v>
      </c>
      <c r="M13" t="s">
        <v>48</v>
      </c>
      <c r="N13" t="str" cm="1">
        <f t="array" ref="N13">_xlfn.SWITCH(TRIM(PROPER(M13)), "Active", "Active", "Actv", "Active", "Left", "Left", "Resigned", "Left", "Unknown")</f>
        <v>Active</v>
      </c>
      <c r="O13" t="str">
        <f>_xlfn.XLOOKUP(L13, Lookup_Performance!$A$2:$A$6, Lookup_Performance!$C$2:$C$6, "No Score", -1)</f>
        <v>Developing</v>
      </c>
      <c r="P13" s="11">
        <f>_xlfn.XLOOKUP(L13, Lookup_Performance!$A$2:$A$6, Lookup_Performance!$D$2:$D$6, 0, -1)</f>
        <v>0.02</v>
      </c>
      <c r="Q13" s="2">
        <f>K13*P13</f>
        <v>1538.3600000000001</v>
      </c>
    </row>
    <row r="14" spans="1:17" x14ac:dyDescent="0.25">
      <c r="A14" t="s">
        <v>49</v>
      </c>
      <c r="B14" t="s">
        <v>50</v>
      </c>
      <c r="C14" t="s">
        <v>51</v>
      </c>
      <c r="D14" t="str">
        <f t="shared" si="0"/>
        <v>Jane Williams</v>
      </c>
      <c r="E14" t="str">
        <f>_xlfn.XLOOKUP(F14, Lookup_Departments!$A$2:$A$7, Lookup_Departments!$B$2:$B$7, "Unknown")</f>
        <v>Marketing</v>
      </c>
      <c r="F14" t="str">
        <f t="shared" si="1"/>
        <v>MKT04</v>
      </c>
      <c r="G14" t="s">
        <v>52</v>
      </c>
      <c r="H14" s="3">
        <f t="shared" si="2"/>
        <v>44364</v>
      </c>
      <c r="I14" s="21">
        <f t="shared" ca="1" si="3"/>
        <v>5</v>
      </c>
      <c r="J14" s="3" t="s">
        <v>53</v>
      </c>
      <c r="K14" s="2">
        <v>61408</v>
      </c>
      <c r="L14">
        <v>48</v>
      </c>
      <c r="M14" t="s">
        <v>16</v>
      </c>
      <c r="N14" t="str" cm="1">
        <f t="array" ref="N14">_xlfn.SWITCH(TRIM(PROPER(M14)), "Active", "Active", "Actv", "Active", "Left", "Left", "Resigned", "Left", "Unknown")</f>
        <v>Active</v>
      </c>
      <c r="O14" t="str">
        <f>_xlfn.XLOOKUP(L14, Lookup_Performance!$A$2:$A$6, Lookup_Performance!$C$2:$C$6, "No Score", -1)</f>
        <v>Needs Improvement</v>
      </c>
      <c r="P14" s="11">
        <f>_xlfn.XLOOKUP(L14, Lookup_Performance!$A$2:$A$6, Lookup_Performance!$D$2:$D$6, 0, -1)</f>
        <v>0</v>
      </c>
      <c r="Q14" s="2">
        <f>K14*P14</f>
        <v>0</v>
      </c>
    </row>
    <row r="15" spans="1:17" x14ac:dyDescent="0.25">
      <c r="A15" t="s">
        <v>54</v>
      </c>
      <c r="B15" t="s">
        <v>50</v>
      </c>
      <c r="C15" t="s">
        <v>45</v>
      </c>
      <c r="D15" t="str">
        <f t="shared" si="0"/>
        <v>Jane Miller</v>
      </c>
      <c r="E15" t="str">
        <f>_xlfn.XLOOKUP(F15, Lookup_Departments!$A$2:$A$7, Lookup_Departments!$B$2:$B$7, "Unknown")</f>
        <v>Marketing</v>
      </c>
      <c r="F15" t="str">
        <f t="shared" si="1"/>
        <v>MKT04</v>
      </c>
      <c r="G15" t="s">
        <v>15</v>
      </c>
      <c r="H15" s="3">
        <f t="shared" si="2"/>
        <v>44001</v>
      </c>
      <c r="I15" s="21">
        <f t="shared" ca="1" si="3"/>
        <v>6</v>
      </c>
      <c r="J15" s="3">
        <v>44001</v>
      </c>
      <c r="K15" s="2">
        <v>99990</v>
      </c>
      <c r="L15">
        <v>54</v>
      </c>
      <c r="M15" t="s">
        <v>48</v>
      </c>
      <c r="N15" t="str" cm="1">
        <f t="array" ref="N15">_xlfn.SWITCH(TRIM(PROPER(M15)), "Active", "Active", "Actv", "Active", "Left", "Left", "Resigned", "Left", "Unknown")</f>
        <v>Active</v>
      </c>
      <c r="O15" t="str">
        <f>_xlfn.XLOOKUP(L15, Lookup_Performance!$A$2:$A$6, Lookup_Performance!$C$2:$C$6, "No Score", -1)</f>
        <v>Developing</v>
      </c>
      <c r="P15" s="11">
        <f>_xlfn.XLOOKUP(L15, Lookup_Performance!$A$2:$A$6, Lookup_Performance!$D$2:$D$6, 0, -1)</f>
        <v>0.02</v>
      </c>
      <c r="Q15" s="2">
        <f>K15*P15</f>
        <v>1999.8</v>
      </c>
    </row>
    <row r="16" spans="1:17" x14ac:dyDescent="0.25">
      <c r="A16" t="s">
        <v>55</v>
      </c>
      <c r="B16" t="s">
        <v>56</v>
      </c>
      <c r="C16" t="s">
        <v>57</v>
      </c>
      <c r="D16" t="str">
        <f t="shared" si="0"/>
        <v>Robert Jones</v>
      </c>
      <c r="E16" t="str">
        <f>_xlfn.XLOOKUP(F16, Lookup_Departments!$A$2:$A$7, Lookup_Departments!$B$2:$B$7, "Unknown")</f>
        <v>Marketing</v>
      </c>
      <c r="F16" t="str">
        <f t="shared" si="1"/>
        <v>MKT04</v>
      </c>
      <c r="G16" t="s">
        <v>58</v>
      </c>
      <c r="H16" s="3">
        <f t="shared" si="2"/>
        <v>43820</v>
      </c>
      <c r="I16" s="21">
        <f t="shared" ca="1" si="3"/>
        <v>6</v>
      </c>
      <c r="J16" s="3">
        <v>43820</v>
      </c>
      <c r="K16" s="2">
        <v>80385</v>
      </c>
      <c r="L16">
        <v>70</v>
      </c>
      <c r="M16" t="s">
        <v>11</v>
      </c>
      <c r="N16" t="str" cm="1">
        <f t="array" ref="N16">_xlfn.SWITCH(TRIM(PROPER(M16)), "Active", "Active", "Actv", "Active", "Left", "Left", "Resigned", "Left", "Unknown")</f>
        <v>Active</v>
      </c>
      <c r="O16" t="str">
        <f>_xlfn.XLOOKUP(L16, Lookup_Performance!$A$2:$A$6, Lookup_Performance!$C$2:$C$6, "No Score", -1)</f>
        <v>Achieving</v>
      </c>
      <c r="P16" s="11">
        <f>_xlfn.XLOOKUP(L16, Lookup_Performance!$A$2:$A$6, Lookup_Performance!$D$2:$D$6, 0, -1)</f>
        <v>0.05</v>
      </c>
      <c r="Q16" s="2">
        <f>K16*P16</f>
        <v>4019.25</v>
      </c>
    </row>
    <row r="17" spans="1:17" x14ac:dyDescent="0.25">
      <c r="A17" t="s">
        <v>59</v>
      </c>
      <c r="B17" t="s">
        <v>26</v>
      </c>
      <c r="C17" t="s">
        <v>39</v>
      </c>
      <c r="D17" t="str">
        <f t="shared" si="0"/>
        <v>Thomas Rodriguez</v>
      </c>
      <c r="E17" t="str">
        <f>_xlfn.XLOOKUP(F17, Lookup_Departments!$A$2:$A$7, Lookup_Departments!$B$2:$B$7, "Unknown")</f>
        <v>Sales</v>
      </c>
      <c r="F17" t="str">
        <f t="shared" si="1"/>
        <v>SAL05</v>
      </c>
      <c r="G17" t="s">
        <v>42</v>
      </c>
      <c r="H17" s="3">
        <f t="shared" si="2"/>
        <v>45169</v>
      </c>
      <c r="I17" s="21">
        <f t="shared" ca="1" si="3"/>
        <v>2</v>
      </c>
      <c r="J17" s="3">
        <v>45169</v>
      </c>
      <c r="K17" s="2">
        <v>65290</v>
      </c>
      <c r="L17">
        <v>77</v>
      </c>
      <c r="M17" t="s">
        <v>11</v>
      </c>
      <c r="N17" t="str" cm="1">
        <f t="array" ref="N17">_xlfn.SWITCH(TRIM(PROPER(M17)), "Active", "Active", "Actv", "Active", "Left", "Left", "Resigned", "Left", "Unknown")</f>
        <v>Active</v>
      </c>
      <c r="O17" t="str">
        <f>_xlfn.XLOOKUP(L17, Lookup_Performance!$A$2:$A$6, Lookup_Performance!$C$2:$C$6, "No Score", -1)</f>
        <v>Achieving</v>
      </c>
      <c r="P17" s="11">
        <f>_xlfn.XLOOKUP(L17, Lookup_Performance!$A$2:$A$6, Lookup_Performance!$D$2:$D$6, 0, -1)</f>
        <v>0.05</v>
      </c>
      <c r="Q17" s="2">
        <f>K17*P17</f>
        <v>3264.5</v>
      </c>
    </row>
    <row r="18" spans="1:17" x14ac:dyDescent="0.25">
      <c r="A18" t="s">
        <v>60</v>
      </c>
      <c r="B18" t="s">
        <v>8</v>
      </c>
      <c r="C18" t="s">
        <v>61</v>
      </c>
      <c r="D18" t="str">
        <f t="shared" si="0"/>
        <v>Emily Davis</v>
      </c>
      <c r="E18" t="str">
        <f>_xlfn.XLOOKUP(F18, Lookup_Departments!$A$2:$A$7, Lookup_Departments!$B$2:$B$7, "Unknown")</f>
        <v>Information Technology</v>
      </c>
      <c r="F18" t="str">
        <f t="shared" si="1"/>
        <v>IT02</v>
      </c>
      <c r="G18" t="s">
        <v>10</v>
      </c>
      <c r="H18" s="3">
        <f t="shared" si="2"/>
        <v>42337</v>
      </c>
      <c r="I18" s="21">
        <f t="shared" ca="1" si="3"/>
        <v>10</v>
      </c>
      <c r="J18" s="3">
        <v>42337</v>
      </c>
      <c r="K18" s="2">
        <v>105765</v>
      </c>
      <c r="L18">
        <v>42</v>
      </c>
      <c r="M18" t="s">
        <v>43</v>
      </c>
      <c r="N18" t="str" cm="1">
        <f t="array" ref="N18">_xlfn.SWITCH(TRIM(PROPER(M18)), "Active", "Active", "Actv", "Active", "Left", "Left", "Resigned", "Left", "Unknown")</f>
        <v>Active</v>
      </c>
      <c r="O18" t="str">
        <f>_xlfn.XLOOKUP(L18, Lookup_Performance!$A$2:$A$6, Lookup_Performance!$C$2:$C$6, "No Score", -1)</f>
        <v>Needs Improvement</v>
      </c>
      <c r="P18" s="11">
        <f>_xlfn.XLOOKUP(L18, Lookup_Performance!$A$2:$A$6, Lookup_Performance!$D$2:$D$6, 0, -1)</f>
        <v>0</v>
      </c>
      <c r="Q18" s="2">
        <f>K18*P18</f>
        <v>0</v>
      </c>
    </row>
    <row r="19" spans="1:17" x14ac:dyDescent="0.25">
      <c r="A19" t="s">
        <v>62</v>
      </c>
      <c r="B19" t="s">
        <v>63</v>
      </c>
      <c r="C19" t="s">
        <v>23</v>
      </c>
      <c r="D19" t="str">
        <f t="shared" si="0"/>
        <v>James Martinez</v>
      </c>
      <c r="E19" t="str">
        <f>_xlfn.XLOOKUP(F19, Lookup_Departments!$A$2:$A$7, Lookup_Departments!$B$2:$B$7, "Unknown")</f>
        <v>Sales</v>
      </c>
      <c r="F19" t="str">
        <f t="shared" si="1"/>
        <v>SAL05</v>
      </c>
      <c r="G19" t="s">
        <v>42</v>
      </c>
      <c r="H19" s="3">
        <f t="shared" si="2"/>
        <v>42899</v>
      </c>
      <c r="I19" s="21">
        <f t="shared" ca="1" si="3"/>
        <v>9</v>
      </c>
      <c r="J19" s="3">
        <v>42899</v>
      </c>
      <c r="K19" s="2">
        <v>102921</v>
      </c>
      <c r="L19">
        <v>49</v>
      </c>
      <c r="M19" t="s">
        <v>16</v>
      </c>
      <c r="N19" t="str" cm="1">
        <f t="array" ref="N19">_xlfn.SWITCH(TRIM(PROPER(M19)), "Active", "Active", "Actv", "Active", "Left", "Left", "Resigned", "Left", "Unknown")</f>
        <v>Active</v>
      </c>
      <c r="O19" t="str">
        <f>_xlfn.XLOOKUP(L19, Lookup_Performance!$A$2:$A$6, Lookup_Performance!$C$2:$C$6, "No Score", -1)</f>
        <v>Needs Improvement</v>
      </c>
      <c r="P19" s="11">
        <f>_xlfn.XLOOKUP(L19, Lookup_Performance!$A$2:$A$6, Lookup_Performance!$D$2:$D$6, 0, -1)</f>
        <v>0</v>
      </c>
      <c r="Q19" s="2">
        <f>K19*P19</f>
        <v>0</v>
      </c>
    </row>
    <row r="20" spans="1:17" x14ac:dyDescent="0.25">
      <c r="A20" t="s">
        <v>64</v>
      </c>
      <c r="B20" t="s">
        <v>65</v>
      </c>
      <c r="C20" t="s">
        <v>66</v>
      </c>
      <c r="D20" t="str">
        <f t="shared" si="0"/>
        <v>Ashley Lopez</v>
      </c>
      <c r="E20" t="str">
        <f>_xlfn.XLOOKUP(F20, Lookup_Departments!$A$2:$A$7, Lookup_Departments!$B$2:$B$7, "Unknown")</f>
        <v>Marketing</v>
      </c>
      <c r="F20" t="str">
        <f t="shared" si="1"/>
        <v>MKT04</v>
      </c>
      <c r="G20" t="s">
        <v>15</v>
      </c>
      <c r="H20" s="3">
        <f t="shared" si="2"/>
        <v>43235</v>
      </c>
      <c r="I20" s="21">
        <f t="shared" ca="1" si="3"/>
        <v>8</v>
      </c>
      <c r="J20" s="3">
        <v>43235</v>
      </c>
      <c r="K20" s="2">
        <v>73984</v>
      </c>
      <c r="L20">
        <v>93</v>
      </c>
      <c r="M20" t="s">
        <v>48</v>
      </c>
      <c r="N20" t="str" cm="1">
        <f t="array" ref="N20">_xlfn.SWITCH(TRIM(PROPER(M20)), "Active", "Active", "Actv", "Active", "Left", "Left", "Resigned", "Left", "Unknown")</f>
        <v>Active</v>
      </c>
      <c r="O20" t="str">
        <f>_xlfn.XLOOKUP(L20, Lookup_Performance!$A$2:$A$6, Lookup_Performance!$C$2:$C$6, "No Score", -1)</f>
        <v>Exceeding</v>
      </c>
      <c r="P20" s="11">
        <f>_xlfn.XLOOKUP(L20, Lookup_Performance!$A$2:$A$6, Lookup_Performance!$D$2:$D$6, 0, -1)</f>
        <v>0.08</v>
      </c>
      <c r="Q20" s="2">
        <f>K20*P20</f>
        <v>5918.72</v>
      </c>
    </row>
    <row r="21" spans="1:17" x14ac:dyDescent="0.25">
      <c r="A21" t="s">
        <v>67</v>
      </c>
      <c r="B21" t="s">
        <v>68</v>
      </c>
      <c r="C21" t="s">
        <v>18</v>
      </c>
      <c r="D21" t="str">
        <f t="shared" si="0"/>
        <v>Amanda Gonzalez</v>
      </c>
      <c r="E21" t="str">
        <f>_xlfn.XLOOKUP(F21, Lookup_Departments!$A$2:$A$7, Lookup_Departments!$B$2:$B$7, "Unknown")</f>
        <v>Information Technology</v>
      </c>
      <c r="F21" t="str">
        <f t="shared" si="1"/>
        <v>IT02</v>
      </c>
      <c r="G21" t="s">
        <v>10</v>
      </c>
      <c r="H21" s="3">
        <f t="shared" si="2"/>
        <v>42575</v>
      </c>
      <c r="I21" s="21">
        <f t="shared" ca="1" si="3"/>
        <v>9</v>
      </c>
      <c r="J21" s="3">
        <v>42575</v>
      </c>
      <c r="K21" s="2">
        <v>83604</v>
      </c>
      <c r="L21">
        <v>75</v>
      </c>
      <c r="M21" t="s">
        <v>48</v>
      </c>
      <c r="N21" t="str" cm="1">
        <f t="array" ref="N21">_xlfn.SWITCH(TRIM(PROPER(M21)), "Active", "Active", "Actv", "Active", "Left", "Left", "Resigned", "Left", "Unknown")</f>
        <v>Active</v>
      </c>
      <c r="O21" t="str">
        <f>_xlfn.XLOOKUP(L21, Lookup_Performance!$A$2:$A$6, Lookup_Performance!$C$2:$C$6, "No Score", -1)</f>
        <v>Achieving</v>
      </c>
      <c r="P21" s="11">
        <f>_xlfn.XLOOKUP(L21, Lookup_Performance!$A$2:$A$6, Lookup_Performance!$D$2:$D$6, 0, -1)</f>
        <v>0.05</v>
      </c>
      <c r="Q21" s="2">
        <f>K21*P21</f>
        <v>4180.2</v>
      </c>
    </row>
    <row r="22" spans="1:17" x14ac:dyDescent="0.25">
      <c r="A22" t="s">
        <v>69</v>
      </c>
      <c r="B22" t="s">
        <v>41</v>
      </c>
      <c r="C22" t="s">
        <v>14</v>
      </c>
      <c r="D22" t="str">
        <f t="shared" si="0"/>
        <v>Michael Hernandez</v>
      </c>
      <c r="E22" t="str">
        <f>_xlfn.XLOOKUP(F22, Lookup_Departments!$A$2:$A$7, Lookup_Departments!$B$2:$B$7, "Unknown")</f>
        <v>Finance</v>
      </c>
      <c r="F22" t="str">
        <f t="shared" si="1"/>
        <v>FIN03</v>
      </c>
      <c r="G22" t="s">
        <v>24</v>
      </c>
      <c r="H22" s="3">
        <f t="shared" si="2"/>
        <v>43076</v>
      </c>
      <c r="I22" s="21">
        <f t="shared" ca="1" si="3"/>
        <v>8</v>
      </c>
      <c r="J22" s="3">
        <v>43076</v>
      </c>
      <c r="K22" s="2">
        <v>118527</v>
      </c>
      <c r="L22">
        <v>50</v>
      </c>
      <c r="M22" t="s">
        <v>48</v>
      </c>
      <c r="N22" t="str" cm="1">
        <f t="array" ref="N22">_xlfn.SWITCH(TRIM(PROPER(M22)), "Active", "Active", "Actv", "Active", "Left", "Left", "Resigned", "Left", "Unknown")</f>
        <v>Active</v>
      </c>
      <c r="O22" t="str">
        <f>_xlfn.XLOOKUP(L22, Lookup_Performance!$A$2:$A$6, Lookup_Performance!$C$2:$C$6, "No Score", -1)</f>
        <v>Developing</v>
      </c>
      <c r="P22" s="11">
        <f>_xlfn.XLOOKUP(L22, Lookup_Performance!$A$2:$A$6, Lookup_Performance!$D$2:$D$6, 0, -1)</f>
        <v>0.02</v>
      </c>
      <c r="Q22" s="2">
        <f>K22*P22</f>
        <v>2370.54</v>
      </c>
    </row>
    <row r="23" spans="1:17" x14ac:dyDescent="0.25">
      <c r="A23" t="s">
        <v>70</v>
      </c>
      <c r="B23" t="s">
        <v>13</v>
      </c>
      <c r="C23" t="s">
        <v>14</v>
      </c>
      <c r="D23" t="str">
        <f t="shared" si="0"/>
        <v>Richard Hernandez</v>
      </c>
      <c r="E23" t="str">
        <f>_xlfn.XLOOKUP(F23, Lookup_Departments!$A$2:$A$7, Lookup_Departments!$B$2:$B$7, "Unknown")</f>
        <v>Marketing</v>
      </c>
      <c r="F23" t="str">
        <f t="shared" si="1"/>
        <v>MKT04</v>
      </c>
      <c r="G23" t="s">
        <v>15</v>
      </c>
      <c r="H23" s="3">
        <f t="shared" si="2"/>
        <v>44353</v>
      </c>
      <c r="I23" s="21">
        <f t="shared" ca="1" si="3"/>
        <v>5</v>
      </c>
      <c r="J23" s="3">
        <v>44353</v>
      </c>
      <c r="K23" s="2">
        <v>107871</v>
      </c>
      <c r="L23">
        <v>88</v>
      </c>
      <c r="M23" t="s">
        <v>11</v>
      </c>
      <c r="N23" t="str" cm="1">
        <f t="array" ref="N23">_xlfn.SWITCH(TRIM(PROPER(M23)), "Active", "Active", "Actv", "Active", "Left", "Left", "Resigned", "Left", "Unknown")</f>
        <v>Active</v>
      </c>
      <c r="O23" t="str">
        <f>_xlfn.XLOOKUP(L23, Lookup_Performance!$A$2:$A$6, Lookup_Performance!$C$2:$C$6, "No Score", -1)</f>
        <v>Exceeding</v>
      </c>
      <c r="P23" s="11">
        <f>_xlfn.XLOOKUP(L23, Lookup_Performance!$A$2:$A$6, Lookup_Performance!$D$2:$D$6, 0, -1)</f>
        <v>0.08</v>
      </c>
      <c r="Q23" s="2">
        <f>K23*P23</f>
        <v>8629.68</v>
      </c>
    </row>
    <row r="24" spans="1:17" x14ac:dyDescent="0.25">
      <c r="A24" t="s">
        <v>71</v>
      </c>
      <c r="B24" t="s">
        <v>41</v>
      </c>
      <c r="C24" t="s">
        <v>39</v>
      </c>
      <c r="D24" t="str">
        <f t="shared" si="0"/>
        <v>Michael Rodriguez</v>
      </c>
      <c r="E24" t="str">
        <f>_xlfn.XLOOKUP(F24, Lookup_Departments!$A$2:$A$7, Lookup_Departments!$B$2:$B$7, "Unknown")</f>
        <v>Information Technology</v>
      </c>
      <c r="F24" t="str">
        <f t="shared" si="1"/>
        <v>IT02</v>
      </c>
      <c r="G24" t="s">
        <v>19</v>
      </c>
      <c r="H24" s="3">
        <f t="shared" si="2"/>
        <v>44815</v>
      </c>
      <c r="I24" s="21">
        <f t="shared" ca="1" si="3"/>
        <v>3</v>
      </c>
      <c r="J24" s="3">
        <v>44815</v>
      </c>
      <c r="K24" s="2">
        <v>93956</v>
      </c>
      <c r="L24">
        <v>50</v>
      </c>
      <c r="M24" t="s">
        <v>20</v>
      </c>
      <c r="N24" t="str" cm="1">
        <f t="array" ref="N24">_xlfn.SWITCH(TRIM(PROPER(M24)), "Active", "Active", "Actv", "Active", "Left", "Left", "Resigned", "Left", "Unknown")</f>
        <v>Left</v>
      </c>
      <c r="O24" t="str">
        <f>_xlfn.XLOOKUP(L24, Lookup_Performance!$A$2:$A$6, Lookup_Performance!$C$2:$C$6, "No Score", -1)</f>
        <v>Developing</v>
      </c>
      <c r="P24" s="11">
        <f>_xlfn.XLOOKUP(L24, Lookup_Performance!$A$2:$A$6, Lookup_Performance!$D$2:$D$6, 0, -1)</f>
        <v>0.02</v>
      </c>
      <c r="Q24" s="2">
        <f>K24*P24</f>
        <v>1879.1200000000001</v>
      </c>
    </row>
    <row r="25" spans="1:17" x14ac:dyDescent="0.25">
      <c r="A25" t="s">
        <v>72</v>
      </c>
      <c r="B25" t="s">
        <v>37</v>
      </c>
      <c r="C25" t="s">
        <v>30</v>
      </c>
      <c r="D25" t="str">
        <f t="shared" si="0"/>
        <v>Jessica Johnson</v>
      </c>
      <c r="E25" t="str">
        <f>_xlfn.XLOOKUP(F25, Lookup_Departments!$A$2:$A$7, Lookup_Departments!$B$2:$B$7, "Unknown")</f>
        <v>Finance</v>
      </c>
      <c r="F25" t="str">
        <f t="shared" si="1"/>
        <v>FIN03</v>
      </c>
      <c r="G25" t="s">
        <v>73</v>
      </c>
      <c r="H25" s="3">
        <f t="shared" si="2"/>
        <v>42565</v>
      </c>
      <c r="I25" s="21">
        <f t="shared" ca="1" si="3"/>
        <v>9</v>
      </c>
      <c r="J25" s="3">
        <v>42565</v>
      </c>
      <c r="K25" s="2">
        <v>100851</v>
      </c>
      <c r="L25">
        <v>64</v>
      </c>
      <c r="M25" t="s">
        <v>16</v>
      </c>
      <c r="N25" t="str" cm="1">
        <f t="array" ref="N25">_xlfn.SWITCH(TRIM(PROPER(M25)), "Active", "Active", "Actv", "Active", "Left", "Left", "Resigned", "Left", "Unknown")</f>
        <v>Active</v>
      </c>
      <c r="O25" t="str">
        <f>_xlfn.XLOOKUP(L25, Lookup_Performance!$A$2:$A$6, Lookup_Performance!$C$2:$C$6, "No Score", -1)</f>
        <v>Developing</v>
      </c>
      <c r="P25" s="11">
        <f>_xlfn.XLOOKUP(L25, Lookup_Performance!$A$2:$A$6, Lookup_Performance!$D$2:$D$6, 0, -1)</f>
        <v>0.02</v>
      </c>
      <c r="Q25" s="2">
        <f>K25*P25</f>
        <v>2017.02</v>
      </c>
    </row>
    <row r="26" spans="1:17" x14ac:dyDescent="0.25">
      <c r="A26" t="s">
        <v>74</v>
      </c>
      <c r="B26" t="s">
        <v>65</v>
      </c>
      <c r="C26" t="s">
        <v>51</v>
      </c>
      <c r="D26" t="str">
        <f t="shared" si="0"/>
        <v>Ashley Williams</v>
      </c>
      <c r="E26" t="str">
        <f>_xlfn.XLOOKUP(F26, Lookup_Departments!$A$2:$A$7, Lookup_Departments!$B$2:$B$7, "Unknown")</f>
        <v>Sales</v>
      </c>
      <c r="F26" t="str">
        <f t="shared" si="1"/>
        <v>SAL05</v>
      </c>
      <c r="G26" t="s">
        <v>42</v>
      </c>
      <c r="H26" s="3">
        <f t="shared" si="2"/>
        <v>44728</v>
      </c>
      <c r="I26" s="21">
        <f t="shared" ca="1" si="3"/>
        <v>4</v>
      </c>
      <c r="J26" s="3">
        <v>44728</v>
      </c>
      <c r="K26" s="2">
        <v>68655</v>
      </c>
      <c r="L26">
        <v>32</v>
      </c>
      <c r="M26" t="s">
        <v>11</v>
      </c>
      <c r="N26" t="str" cm="1">
        <f t="array" ref="N26">_xlfn.SWITCH(TRIM(PROPER(M26)), "Active", "Active", "Actv", "Active", "Left", "Left", "Resigned", "Left", "Unknown")</f>
        <v>Active</v>
      </c>
      <c r="O26" t="str">
        <f>_xlfn.XLOOKUP(L26, Lookup_Performance!$A$2:$A$6, Lookup_Performance!$C$2:$C$6, "No Score", -1)</f>
        <v>Needs Improvement</v>
      </c>
      <c r="P26" s="11">
        <f>_xlfn.XLOOKUP(L26, Lookup_Performance!$A$2:$A$6, Lookup_Performance!$D$2:$D$6, 0, -1)</f>
        <v>0</v>
      </c>
      <c r="Q26" s="2">
        <f>K26*P26</f>
        <v>0</v>
      </c>
    </row>
    <row r="27" spans="1:17" x14ac:dyDescent="0.25">
      <c r="A27" t="s">
        <v>75</v>
      </c>
      <c r="C27" t="s">
        <v>51</v>
      </c>
      <c r="D27" t="str">
        <f t="shared" si="0"/>
        <v>- Williams</v>
      </c>
      <c r="E27" t="str">
        <f>_xlfn.XLOOKUP(F27, Lookup_Departments!$A$2:$A$7, Lookup_Departments!$B$2:$B$7, "Unknown")</f>
        <v>Sales</v>
      </c>
      <c r="F27" t="str">
        <f t="shared" si="1"/>
        <v>SAL05</v>
      </c>
      <c r="G27" t="s">
        <v>76</v>
      </c>
      <c r="H27" s="3">
        <f t="shared" si="2"/>
        <v>45134</v>
      </c>
      <c r="I27" s="21">
        <f t="shared" ca="1" si="3"/>
        <v>2</v>
      </c>
      <c r="J27" s="3">
        <v>45134</v>
      </c>
      <c r="K27" s="2">
        <v>81205</v>
      </c>
      <c r="L27">
        <v>59</v>
      </c>
      <c r="M27" t="s">
        <v>48</v>
      </c>
      <c r="N27" t="str" cm="1">
        <f t="array" ref="N27">_xlfn.SWITCH(TRIM(PROPER(M27)), "Active", "Active", "Actv", "Active", "Left", "Left", "Resigned", "Left", "Unknown")</f>
        <v>Active</v>
      </c>
      <c r="O27" t="str">
        <f>_xlfn.XLOOKUP(L27, Lookup_Performance!$A$2:$A$6, Lookup_Performance!$C$2:$C$6, "No Score", -1)</f>
        <v>Developing</v>
      </c>
      <c r="P27" s="11">
        <f>_xlfn.XLOOKUP(L27, Lookup_Performance!$A$2:$A$6, Lookup_Performance!$D$2:$D$6, 0, -1)</f>
        <v>0.02</v>
      </c>
      <c r="Q27" s="2">
        <f>K27*P27</f>
        <v>1624.1000000000001</v>
      </c>
    </row>
    <row r="28" spans="1:17" x14ac:dyDescent="0.25">
      <c r="A28" t="s">
        <v>77</v>
      </c>
      <c r="B28" t="s">
        <v>22</v>
      </c>
      <c r="C28" t="s">
        <v>34</v>
      </c>
      <c r="D28" t="str">
        <f t="shared" si="0"/>
        <v>John Wilson</v>
      </c>
      <c r="E28" t="str">
        <f>_xlfn.XLOOKUP(F28, Lookup_Departments!$A$2:$A$7, Lookup_Departments!$B$2:$B$7, "Unknown")</f>
        <v>Sales</v>
      </c>
      <c r="F28" t="str">
        <f t="shared" si="1"/>
        <v>SAL05</v>
      </c>
      <c r="G28" t="s">
        <v>42</v>
      </c>
      <c r="H28" s="3">
        <f t="shared" si="2"/>
        <v>43732</v>
      </c>
      <c r="I28" s="21">
        <f t="shared" ca="1" si="3"/>
        <v>6</v>
      </c>
      <c r="J28" s="3" t="s">
        <v>78</v>
      </c>
      <c r="K28" s="2">
        <v>77610</v>
      </c>
      <c r="L28">
        <v>88</v>
      </c>
      <c r="M28" t="s">
        <v>48</v>
      </c>
      <c r="N28" t="str" cm="1">
        <f t="array" ref="N28">_xlfn.SWITCH(TRIM(PROPER(M28)), "Active", "Active", "Actv", "Active", "Left", "Left", "Resigned", "Left", "Unknown")</f>
        <v>Active</v>
      </c>
      <c r="O28" t="str">
        <f>_xlfn.XLOOKUP(L28, Lookup_Performance!$A$2:$A$6, Lookup_Performance!$C$2:$C$6, "No Score", -1)</f>
        <v>Exceeding</v>
      </c>
      <c r="P28" s="11">
        <f>_xlfn.XLOOKUP(L28, Lookup_Performance!$A$2:$A$6, Lookup_Performance!$D$2:$D$6, 0, -1)</f>
        <v>0.08</v>
      </c>
      <c r="Q28" s="2">
        <f>K28*P28</f>
        <v>6208.8</v>
      </c>
    </row>
    <row r="29" spans="1:17" x14ac:dyDescent="0.25">
      <c r="A29" t="s">
        <v>79</v>
      </c>
      <c r="B29" t="s">
        <v>26</v>
      </c>
      <c r="C29" t="s">
        <v>39</v>
      </c>
      <c r="D29" t="str">
        <f t="shared" si="0"/>
        <v>Thomas Rodriguez</v>
      </c>
      <c r="E29" t="str">
        <f>_xlfn.XLOOKUP(F29, Lookup_Departments!$A$2:$A$7, Lookup_Departments!$B$2:$B$7, "Unknown")</f>
        <v>Information Technology</v>
      </c>
      <c r="F29" t="str">
        <f t="shared" si="1"/>
        <v>IT02</v>
      </c>
      <c r="G29" t="s">
        <v>80</v>
      </c>
      <c r="H29" s="3">
        <f t="shared" si="2"/>
        <v>44765</v>
      </c>
      <c r="I29" s="21">
        <f t="shared" ca="1" si="3"/>
        <v>3</v>
      </c>
      <c r="J29" s="3">
        <v>44765</v>
      </c>
      <c r="K29" s="2">
        <v>50873</v>
      </c>
      <c r="L29">
        <v>90</v>
      </c>
      <c r="M29" t="s">
        <v>43</v>
      </c>
      <c r="N29" t="str" cm="1">
        <f t="array" ref="N29">_xlfn.SWITCH(TRIM(PROPER(M29)), "Active", "Active", "Actv", "Active", "Left", "Left", "Resigned", "Left", "Unknown")</f>
        <v>Active</v>
      </c>
      <c r="O29" t="str">
        <f>_xlfn.XLOOKUP(L29, Lookup_Performance!$A$2:$A$6, Lookup_Performance!$C$2:$C$6, "No Score", -1)</f>
        <v>Exceeding</v>
      </c>
      <c r="P29" s="11">
        <f>_xlfn.XLOOKUP(L29, Lookup_Performance!$A$2:$A$6, Lookup_Performance!$D$2:$D$6, 0, -1)</f>
        <v>0.08</v>
      </c>
      <c r="Q29" s="2">
        <f>K29*P29</f>
        <v>4069.84</v>
      </c>
    </row>
    <row r="30" spans="1:17" x14ac:dyDescent="0.25">
      <c r="A30" t="s">
        <v>81</v>
      </c>
      <c r="B30" t="s">
        <v>41</v>
      </c>
      <c r="C30" t="s">
        <v>34</v>
      </c>
      <c r="D30" t="str">
        <f t="shared" si="0"/>
        <v>Michael Wilson</v>
      </c>
      <c r="E30" t="str">
        <f>_xlfn.XLOOKUP(F30, Lookup_Departments!$A$2:$A$7, Lookup_Departments!$B$2:$B$7, "Unknown")</f>
        <v>Finance</v>
      </c>
      <c r="F30" t="str">
        <f t="shared" si="1"/>
        <v>FIN03</v>
      </c>
      <c r="G30" t="s">
        <v>82</v>
      </c>
      <c r="H30" s="3">
        <f t="shared" si="2"/>
        <v>43233</v>
      </c>
      <c r="I30" s="21">
        <f t="shared" ca="1" si="3"/>
        <v>8</v>
      </c>
      <c r="J30" s="3" t="s">
        <v>83</v>
      </c>
      <c r="K30" s="2">
        <v>85312</v>
      </c>
      <c r="L30">
        <v>66</v>
      </c>
      <c r="M30" t="s">
        <v>11</v>
      </c>
      <c r="N30" t="str" cm="1">
        <f t="array" ref="N30">_xlfn.SWITCH(TRIM(PROPER(M30)), "Active", "Active", "Actv", "Active", "Left", "Left", "Resigned", "Left", "Unknown")</f>
        <v>Active</v>
      </c>
      <c r="O30" t="str">
        <f>_xlfn.XLOOKUP(L30, Lookup_Performance!$A$2:$A$6, Lookup_Performance!$C$2:$C$6, "No Score", -1)</f>
        <v>Developing</v>
      </c>
      <c r="P30" s="11">
        <f>_xlfn.XLOOKUP(L30, Lookup_Performance!$A$2:$A$6, Lookup_Performance!$D$2:$D$6, 0, -1)</f>
        <v>0.02</v>
      </c>
      <c r="Q30" s="2">
        <f>K30*P30</f>
        <v>1706.24</v>
      </c>
    </row>
    <row r="31" spans="1:17" x14ac:dyDescent="0.25">
      <c r="A31" t="s">
        <v>84</v>
      </c>
      <c r="B31" t="s">
        <v>22</v>
      </c>
      <c r="C31" t="s">
        <v>39</v>
      </c>
      <c r="D31" t="str">
        <f t="shared" si="0"/>
        <v>John Rodriguez</v>
      </c>
      <c r="E31" t="str">
        <f>_xlfn.XLOOKUP(F31, Lookup_Departments!$A$2:$A$7, Lookup_Departments!$B$2:$B$7, "Unknown")</f>
        <v>Sales</v>
      </c>
      <c r="F31" t="str">
        <f t="shared" si="1"/>
        <v>SAL05</v>
      </c>
      <c r="G31" t="s">
        <v>42</v>
      </c>
      <c r="H31" s="3">
        <f t="shared" si="2"/>
        <v>42202</v>
      </c>
      <c r="I31" s="21">
        <f t="shared" ca="1" si="3"/>
        <v>10</v>
      </c>
      <c r="J31" s="3">
        <v>42202</v>
      </c>
      <c r="K31" s="2">
        <v>83604</v>
      </c>
      <c r="L31">
        <v>68</v>
      </c>
      <c r="M31" t="s">
        <v>11</v>
      </c>
      <c r="N31" t="str" cm="1">
        <f t="array" ref="N31">_xlfn.SWITCH(TRIM(PROPER(M31)), "Active", "Active", "Actv", "Active", "Left", "Left", "Resigned", "Left", "Unknown")</f>
        <v>Active</v>
      </c>
      <c r="O31" t="str">
        <f>_xlfn.XLOOKUP(L31, Lookup_Performance!$A$2:$A$6, Lookup_Performance!$C$2:$C$6, "No Score", -1)</f>
        <v>Developing</v>
      </c>
      <c r="P31" s="11">
        <f>_xlfn.XLOOKUP(L31, Lookup_Performance!$A$2:$A$6, Lookup_Performance!$D$2:$D$6, 0, -1)</f>
        <v>0.02</v>
      </c>
      <c r="Q31" s="2">
        <f>K31*P31</f>
        <v>1672.08</v>
      </c>
    </row>
    <row r="32" spans="1:17" x14ac:dyDescent="0.25">
      <c r="A32" t="s">
        <v>85</v>
      </c>
      <c r="B32" t="s">
        <v>26</v>
      </c>
      <c r="C32" t="s">
        <v>14</v>
      </c>
      <c r="D32" t="str">
        <f t="shared" si="0"/>
        <v>Thomas Hernandez</v>
      </c>
      <c r="E32" t="str">
        <f>_xlfn.XLOOKUP(F32, Lookup_Departments!$A$2:$A$7, Lookup_Departments!$B$2:$B$7, "Unknown")</f>
        <v>Operations</v>
      </c>
      <c r="F32" t="str">
        <f t="shared" si="1"/>
        <v>OPS06</v>
      </c>
      <c r="G32" t="s">
        <v>31</v>
      </c>
      <c r="H32" s="3">
        <f t="shared" si="2"/>
        <v>42221</v>
      </c>
      <c r="I32" s="21">
        <f t="shared" ca="1" si="3"/>
        <v>10</v>
      </c>
      <c r="J32" s="3" t="s">
        <v>86</v>
      </c>
      <c r="K32" s="2">
        <v>97055</v>
      </c>
      <c r="L32">
        <v>80</v>
      </c>
      <c r="M32" t="s">
        <v>48</v>
      </c>
      <c r="N32" t="str" cm="1">
        <f t="array" ref="N32">_xlfn.SWITCH(TRIM(PROPER(M32)), "Active", "Active", "Actv", "Active", "Left", "Left", "Resigned", "Left", "Unknown")</f>
        <v>Active</v>
      </c>
      <c r="O32" t="str">
        <f>_xlfn.XLOOKUP(L32, Lookup_Performance!$A$2:$A$6, Lookup_Performance!$C$2:$C$6, "No Score", -1)</f>
        <v>Achieving</v>
      </c>
      <c r="P32" s="11">
        <f>_xlfn.XLOOKUP(L32, Lookup_Performance!$A$2:$A$6, Lookup_Performance!$D$2:$D$6, 0, -1)</f>
        <v>0.05</v>
      </c>
      <c r="Q32" s="2">
        <f>K32*P32</f>
        <v>4852.75</v>
      </c>
    </row>
    <row r="33" spans="1:17" x14ac:dyDescent="0.25">
      <c r="A33" t="s">
        <v>87</v>
      </c>
      <c r="B33" t="s">
        <v>41</v>
      </c>
      <c r="C33" t="s">
        <v>30</v>
      </c>
      <c r="D33" t="str">
        <f t="shared" si="0"/>
        <v>Michael Johnson</v>
      </c>
      <c r="E33" t="str">
        <f>_xlfn.XLOOKUP(F33, Lookup_Departments!$A$2:$A$7, Lookup_Departments!$B$2:$B$7, "Unknown")</f>
        <v>Information Technology</v>
      </c>
      <c r="F33" t="str">
        <f t="shared" si="1"/>
        <v>IT02</v>
      </c>
      <c r="G33" t="s">
        <v>10</v>
      </c>
      <c r="H33" s="3">
        <f t="shared" si="2"/>
        <v>45195</v>
      </c>
      <c r="I33" s="21">
        <f t="shared" ca="1" si="3"/>
        <v>2</v>
      </c>
      <c r="J33" s="3">
        <v>45195</v>
      </c>
      <c r="K33" s="2">
        <v>66069</v>
      </c>
      <c r="L33">
        <v>72</v>
      </c>
      <c r="M33" t="s">
        <v>48</v>
      </c>
      <c r="N33" t="str" cm="1">
        <f t="array" ref="N33">_xlfn.SWITCH(TRIM(PROPER(M33)), "Active", "Active", "Actv", "Active", "Left", "Left", "Resigned", "Left", "Unknown")</f>
        <v>Active</v>
      </c>
      <c r="O33" t="str">
        <f>_xlfn.XLOOKUP(L33, Lookup_Performance!$A$2:$A$6, Lookup_Performance!$C$2:$C$6, "No Score", -1)</f>
        <v>Achieving</v>
      </c>
      <c r="P33" s="11">
        <f>_xlfn.XLOOKUP(L33, Lookup_Performance!$A$2:$A$6, Lookup_Performance!$D$2:$D$6, 0, -1)</f>
        <v>0.05</v>
      </c>
      <c r="Q33" s="2">
        <f>K33*P33</f>
        <v>3303.4500000000003</v>
      </c>
    </row>
    <row r="34" spans="1:17" x14ac:dyDescent="0.25">
      <c r="A34" t="s">
        <v>88</v>
      </c>
      <c r="B34" t="s">
        <v>89</v>
      </c>
      <c r="C34" t="s">
        <v>9</v>
      </c>
      <c r="D34" t="str">
        <f t="shared" si="0"/>
        <v>Sarah Brown</v>
      </c>
      <c r="E34" t="str">
        <f>_xlfn.XLOOKUP(F34, Lookup_Departments!$A$2:$A$7, Lookup_Departments!$B$2:$B$7, "Unknown")</f>
        <v>Information Technology</v>
      </c>
      <c r="F34" t="str">
        <f t="shared" si="1"/>
        <v>IT02</v>
      </c>
      <c r="G34" t="s">
        <v>80</v>
      </c>
      <c r="H34" s="3">
        <f t="shared" si="2"/>
        <v>43626</v>
      </c>
      <c r="I34" s="21">
        <f t="shared" ca="1" si="3"/>
        <v>7</v>
      </c>
      <c r="J34" s="3" t="s">
        <v>90</v>
      </c>
      <c r="K34" s="2">
        <v>90157</v>
      </c>
      <c r="L34">
        <v>58</v>
      </c>
      <c r="M34" t="s">
        <v>11</v>
      </c>
      <c r="N34" t="str" cm="1">
        <f t="array" ref="N34">_xlfn.SWITCH(TRIM(PROPER(M34)), "Active", "Active", "Actv", "Active", "Left", "Left", "Resigned", "Left", "Unknown")</f>
        <v>Active</v>
      </c>
      <c r="O34" t="str">
        <f>_xlfn.XLOOKUP(L34, Lookup_Performance!$A$2:$A$6, Lookup_Performance!$C$2:$C$6, "No Score", -1)</f>
        <v>Developing</v>
      </c>
      <c r="P34" s="11">
        <f>_xlfn.XLOOKUP(L34, Lookup_Performance!$A$2:$A$6, Lookup_Performance!$D$2:$D$6, 0, -1)</f>
        <v>0.02</v>
      </c>
      <c r="Q34" s="2">
        <f>K34*P34</f>
        <v>1803.14</v>
      </c>
    </row>
    <row r="35" spans="1:17" x14ac:dyDescent="0.25">
      <c r="A35" t="s">
        <v>91</v>
      </c>
      <c r="B35" t="s">
        <v>50</v>
      </c>
      <c r="C35" t="s">
        <v>23</v>
      </c>
      <c r="D35" t="str">
        <f t="shared" si="0"/>
        <v>Jane Martinez</v>
      </c>
      <c r="E35" t="str">
        <f>_xlfn.XLOOKUP(F35, Lookup_Departments!$A$2:$A$7, Lookup_Departments!$B$2:$B$7, "Unknown")</f>
        <v>Human Resources</v>
      </c>
      <c r="F35" t="str">
        <f t="shared" si="1"/>
        <v>HR01</v>
      </c>
      <c r="G35" t="s">
        <v>92</v>
      </c>
      <c r="H35" s="3">
        <f t="shared" si="2"/>
        <v>44578</v>
      </c>
      <c r="I35" s="21">
        <f t="shared" ca="1" si="3"/>
        <v>4</v>
      </c>
      <c r="J35" s="3">
        <v>44578</v>
      </c>
      <c r="K35" s="2">
        <v>59899</v>
      </c>
      <c r="L35">
        <v>78</v>
      </c>
      <c r="M35" t="s">
        <v>48</v>
      </c>
      <c r="N35" t="str" cm="1">
        <f t="array" ref="N35">_xlfn.SWITCH(TRIM(PROPER(M35)), "Active", "Active", "Actv", "Active", "Left", "Left", "Resigned", "Left", "Unknown")</f>
        <v>Active</v>
      </c>
      <c r="O35" t="str">
        <f>_xlfn.XLOOKUP(L35, Lookup_Performance!$A$2:$A$6, Lookup_Performance!$C$2:$C$6, "No Score", -1)</f>
        <v>Achieving</v>
      </c>
      <c r="P35" s="11">
        <f>_xlfn.XLOOKUP(L35, Lookup_Performance!$A$2:$A$6, Lookup_Performance!$D$2:$D$6, 0, -1)</f>
        <v>0.05</v>
      </c>
      <c r="Q35" s="2">
        <f>K35*P35</f>
        <v>2994.9500000000003</v>
      </c>
    </row>
    <row r="36" spans="1:17" x14ac:dyDescent="0.25">
      <c r="A36" t="s">
        <v>93</v>
      </c>
      <c r="B36" t="s">
        <v>8</v>
      </c>
      <c r="C36" t="s">
        <v>57</v>
      </c>
      <c r="D36" t="str">
        <f t="shared" si="0"/>
        <v>Emily Jones</v>
      </c>
      <c r="E36" t="str">
        <f>_xlfn.XLOOKUP(F36, Lookup_Departments!$A$2:$A$7, Lookup_Departments!$B$2:$B$7, "Unknown")</f>
        <v>Finance</v>
      </c>
      <c r="F36" t="str">
        <f t="shared" si="1"/>
        <v>FIN03</v>
      </c>
      <c r="G36" t="s">
        <v>73</v>
      </c>
      <c r="H36" s="3">
        <f t="shared" si="2"/>
        <v>42919</v>
      </c>
      <c r="I36" s="21">
        <f t="shared" ca="1" si="3"/>
        <v>9</v>
      </c>
      <c r="J36" s="3" t="s">
        <v>94</v>
      </c>
      <c r="K36" s="2">
        <v>113389</v>
      </c>
      <c r="L36">
        <v>30</v>
      </c>
      <c r="M36" t="s">
        <v>16</v>
      </c>
      <c r="N36" t="str" cm="1">
        <f t="array" ref="N36">_xlfn.SWITCH(TRIM(PROPER(M36)), "Active", "Active", "Actv", "Active", "Left", "Left", "Resigned", "Left", "Unknown")</f>
        <v>Active</v>
      </c>
      <c r="O36" t="str">
        <f>_xlfn.XLOOKUP(L36, Lookup_Performance!$A$2:$A$6, Lookup_Performance!$C$2:$C$6, "No Score", -1)</f>
        <v>Needs Improvement</v>
      </c>
      <c r="P36" s="11">
        <f>_xlfn.XLOOKUP(L36, Lookup_Performance!$A$2:$A$6, Lookup_Performance!$D$2:$D$6, 0, -1)</f>
        <v>0</v>
      </c>
      <c r="Q36" s="2">
        <f>K36*P36</f>
        <v>0</v>
      </c>
    </row>
    <row r="37" spans="1:17" x14ac:dyDescent="0.25">
      <c r="A37" t="s">
        <v>95</v>
      </c>
      <c r="C37" t="s">
        <v>9</v>
      </c>
      <c r="D37" t="str">
        <f t="shared" si="0"/>
        <v>- Brown</v>
      </c>
      <c r="E37" t="str">
        <f>_xlfn.XLOOKUP(F37, Lookup_Departments!$A$2:$A$7, Lookup_Departments!$B$2:$B$7, "Unknown")</f>
        <v>Information Technology</v>
      </c>
      <c r="F37" t="str">
        <f t="shared" si="1"/>
        <v>IT02</v>
      </c>
      <c r="G37" t="s">
        <v>19</v>
      </c>
      <c r="H37" s="3">
        <f t="shared" si="2"/>
        <v>42248</v>
      </c>
      <c r="I37" s="21">
        <f t="shared" ca="1" si="3"/>
        <v>10</v>
      </c>
      <c r="J37" s="3" t="s">
        <v>96</v>
      </c>
      <c r="K37" s="2">
        <v>102691</v>
      </c>
      <c r="L37">
        <v>52</v>
      </c>
      <c r="M37" t="s">
        <v>43</v>
      </c>
      <c r="N37" t="str" cm="1">
        <f t="array" ref="N37">_xlfn.SWITCH(TRIM(PROPER(M37)), "Active", "Active", "Actv", "Active", "Left", "Left", "Resigned", "Left", "Unknown")</f>
        <v>Active</v>
      </c>
      <c r="O37" t="str">
        <f>_xlfn.XLOOKUP(L37, Lookup_Performance!$A$2:$A$6, Lookup_Performance!$C$2:$C$6, "No Score", -1)</f>
        <v>Developing</v>
      </c>
      <c r="P37" s="11">
        <f>_xlfn.XLOOKUP(L37, Lookup_Performance!$A$2:$A$6, Lookup_Performance!$D$2:$D$6, 0, -1)</f>
        <v>0.02</v>
      </c>
      <c r="Q37" s="2">
        <f>K37*P37</f>
        <v>2053.8200000000002</v>
      </c>
    </row>
    <row r="38" spans="1:17" x14ac:dyDescent="0.25">
      <c r="A38" t="s">
        <v>97</v>
      </c>
      <c r="B38" t="s">
        <v>22</v>
      </c>
      <c r="C38" t="s">
        <v>34</v>
      </c>
      <c r="D38" t="str">
        <f t="shared" si="0"/>
        <v>John Wilson</v>
      </c>
      <c r="E38" t="str">
        <f>_xlfn.XLOOKUP(F38, Lookup_Departments!$A$2:$A$7, Lookup_Departments!$B$2:$B$7, "Unknown")</f>
        <v>Operations</v>
      </c>
      <c r="F38" t="str">
        <f t="shared" si="1"/>
        <v>OPS06</v>
      </c>
      <c r="G38" t="s">
        <v>31</v>
      </c>
      <c r="H38" s="3">
        <f t="shared" si="2"/>
        <v>44776</v>
      </c>
      <c r="I38" s="21">
        <f t="shared" ca="1" si="3"/>
        <v>3</v>
      </c>
      <c r="J38" s="3" t="s">
        <v>98</v>
      </c>
      <c r="K38" s="2">
        <v>111845</v>
      </c>
      <c r="L38">
        <v>98</v>
      </c>
      <c r="M38" t="s">
        <v>11</v>
      </c>
      <c r="N38" t="str" cm="1">
        <f t="array" ref="N38">_xlfn.SWITCH(TRIM(PROPER(M38)), "Active", "Active", "Actv", "Active", "Left", "Left", "Resigned", "Left", "Unknown")</f>
        <v>Active</v>
      </c>
      <c r="O38" t="str">
        <f>_xlfn.XLOOKUP(L38, Lookup_Performance!$A$2:$A$6, Lookup_Performance!$C$2:$C$6, "No Score", -1)</f>
        <v>Outstanding</v>
      </c>
      <c r="P38" s="11">
        <f>_xlfn.XLOOKUP(L38, Lookup_Performance!$A$2:$A$6, Lookup_Performance!$D$2:$D$6, 0, -1)</f>
        <v>0.12</v>
      </c>
      <c r="Q38" s="2">
        <f>K38*P38</f>
        <v>13421.4</v>
      </c>
    </row>
    <row r="39" spans="1:17" x14ac:dyDescent="0.25">
      <c r="A39" t="s">
        <v>99</v>
      </c>
      <c r="B39" t="s">
        <v>100</v>
      </c>
      <c r="C39" t="s">
        <v>9</v>
      </c>
      <c r="D39" t="str">
        <f t="shared" si="0"/>
        <v>Melissa Brown</v>
      </c>
      <c r="E39" t="str">
        <f>_xlfn.XLOOKUP(F39, Lookup_Departments!$A$2:$A$7, Lookup_Departments!$B$2:$B$7, "Unknown")</f>
        <v>Sales</v>
      </c>
      <c r="F39" t="str">
        <f t="shared" si="1"/>
        <v>SAL05</v>
      </c>
      <c r="G39" t="s">
        <v>76</v>
      </c>
      <c r="H39" s="3">
        <f t="shared" si="2"/>
        <v>44741</v>
      </c>
      <c r="I39" s="21">
        <f t="shared" ca="1" si="3"/>
        <v>4</v>
      </c>
      <c r="J39" s="3" t="s">
        <v>101</v>
      </c>
      <c r="K39" s="2">
        <v>69219</v>
      </c>
      <c r="L39">
        <v>93</v>
      </c>
      <c r="M39" t="s">
        <v>48</v>
      </c>
      <c r="N39" t="str" cm="1">
        <f t="array" ref="N39">_xlfn.SWITCH(TRIM(PROPER(M39)), "Active", "Active", "Actv", "Active", "Left", "Left", "Resigned", "Left", "Unknown")</f>
        <v>Active</v>
      </c>
      <c r="O39" t="str">
        <f>_xlfn.XLOOKUP(L39, Lookup_Performance!$A$2:$A$6, Lookup_Performance!$C$2:$C$6, "No Score", -1)</f>
        <v>Exceeding</v>
      </c>
      <c r="P39" s="11">
        <f>_xlfn.XLOOKUP(L39, Lookup_Performance!$A$2:$A$6, Lookup_Performance!$D$2:$D$6, 0, -1)</f>
        <v>0.08</v>
      </c>
      <c r="Q39" s="2">
        <f>K39*P39</f>
        <v>5537.52</v>
      </c>
    </row>
    <row r="40" spans="1:17" x14ac:dyDescent="0.25">
      <c r="A40" t="s">
        <v>102</v>
      </c>
      <c r="B40" t="s">
        <v>41</v>
      </c>
      <c r="C40" t="s">
        <v>27</v>
      </c>
      <c r="D40" t="str">
        <f t="shared" si="0"/>
        <v>Michael Smith</v>
      </c>
      <c r="E40" t="str">
        <f>_xlfn.XLOOKUP(F40, Lookup_Departments!$A$2:$A$7, Lookup_Departments!$B$2:$B$7, "Unknown")</f>
        <v>Finance</v>
      </c>
      <c r="F40" t="str">
        <f t="shared" si="1"/>
        <v>FIN03</v>
      </c>
      <c r="G40" t="s">
        <v>24</v>
      </c>
      <c r="H40" s="3">
        <f t="shared" si="2"/>
        <v>43949</v>
      </c>
      <c r="I40" s="21">
        <f t="shared" ca="1" si="3"/>
        <v>6</v>
      </c>
      <c r="J40" s="3">
        <v>43949</v>
      </c>
      <c r="K40" s="2">
        <v>83604</v>
      </c>
      <c r="L40">
        <v>80</v>
      </c>
      <c r="M40" t="s">
        <v>103</v>
      </c>
      <c r="N40" t="str" cm="1">
        <f t="array" ref="N40">_xlfn.SWITCH(TRIM(PROPER(M40)), "Active", "Active", "Actv", "Active", "Left", "Left", "Resigned", "Left", "Unknown")</f>
        <v>Left</v>
      </c>
      <c r="O40" t="str">
        <f>_xlfn.XLOOKUP(L40, Lookup_Performance!$A$2:$A$6, Lookup_Performance!$C$2:$C$6, "No Score", -1)</f>
        <v>Achieving</v>
      </c>
      <c r="P40" s="11">
        <f>_xlfn.XLOOKUP(L40, Lookup_Performance!$A$2:$A$6, Lookup_Performance!$D$2:$D$6, 0, -1)</f>
        <v>0.05</v>
      </c>
      <c r="Q40" s="2">
        <f>K40*P40</f>
        <v>4180.2</v>
      </c>
    </row>
    <row r="41" spans="1:17" x14ac:dyDescent="0.25">
      <c r="A41" t="s">
        <v>104</v>
      </c>
      <c r="B41" t="s">
        <v>89</v>
      </c>
      <c r="C41" t="s">
        <v>45</v>
      </c>
      <c r="D41" t="str">
        <f t="shared" si="0"/>
        <v>Sarah Miller</v>
      </c>
      <c r="E41" t="str">
        <f>_xlfn.XLOOKUP(F41, Lookup_Departments!$A$2:$A$7, Lookup_Departments!$B$2:$B$7, "Unknown")</f>
        <v>Operations</v>
      </c>
      <c r="F41" t="str">
        <f t="shared" si="1"/>
        <v>OPS06</v>
      </c>
      <c r="G41" t="s">
        <v>31</v>
      </c>
      <c r="H41" s="3">
        <f t="shared" si="2"/>
        <v>42987</v>
      </c>
      <c r="I41" s="21">
        <f t="shared" ca="1" si="3"/>
        <v>8</v>
      </c>
      <c r="J41" s="3" t="s">
        <v>105</v>
      </c>
      <c r="K41" s="2">
        <v>57514</v>
      </c>
      <c r="L41">
        <v>70</v>
      </c>
      <c r="M41" t="s">
        <v>11</v>
      </c>
      <c r="N41" t="str" cm="1">
        <f t="array" ref="N41">_xlfn.SWITCH(TRIM(PROPER(M41)), "Active", "Active", "Actv", "Active", "Left", "Left", "Resigned", "Left", "Unknown")</f>
        <v>Active</v>
      </c>
      <c r="O41" t="str">
        <f>_xlfn.XLOOKUP(L41, Lookup_Performance!$A$2:$A$6, Lookup_Performance!$C$2:$C$6, "No Score", -1)</f>
        <v>Achieving</v>
      </c>
      <c r="P41" s="11">
        <f>_xlfn.XLOOKUP(L41, Lookup_Performance!$A$2:$A$6, Lookup_Performance!$D$2:$D$6, 0, -1)</f>
        <v>0.05</v>
      </c>
      <c r="Q41" s="2">
        <f>K41*P41</f>
        <v>2875.7000000000003</v>
      </c>
    </row>
    <row r="42" spans="1:17" x14ac:dyDescent="0.25">
      <c r="A42" t="s">
        <v>106</v>
      </c>
      <c r="B42" t="s">
        <v>8</v>
      </c>
      <c r="C42" t="s">
        <v>34</v>
      </c>
      <c r="D42" t="str">
        <f t="shared" si="0"/>
        <v>Emily Wilson</v>
      </c>
      <c r="E42" t="str">
        <f>_xlfn.XLOOKUP(F42, Lookup_Departments!$A$2:$A$7, Lookup_Departments!$B$2:$B$7, "Unknown")</f>
        <v>Sales</v>
      </c>
      <c r="F42" t="str">
        <f t="shared" si="1"/>
        <v>SAL05</v>
      </c>
      <c r="G42" t="s">
        <v>42</v>
      </c>
      <c r="H42" s="3">
        <f t="shared" si="2"/>
        <v>43181</v>
      </c>
      <c r="I42" s="21">
        <f t="shared" ca="1" si="3"/>
        <v>8</v>
      </c>
      <c r="J42" s="3">
        <v>43181</v>
      </c>
      <c r="K42" s="2">
        <v>86245</v>
      </c>
      <c r="L42">
        <v>71</v>
      </c>
      <c r="M42" t="s">
        <v>20</v>
      </c>
      <c r="N42" t="str" cm="1">
        <f t="array" ref="N42">_xlfn.SWITCH(TRIM(PROPER(M42)), "Active", "Active", "Actv", "Active", "Left", "Left", "Resigned", "Left", "Unknown")</f>
        <v>Left</v>
      </c>
      <c r="O42" t="str">
        <f>_xlfn.XLOOKUP(L42, Lookup_Performance!$A$2:$A$6, Lookup_Performance!$C$2:$C$6, "No Score", -1)</f>
        <v>Achieving</v>
      </c>
      <c r="P42" s="11">
        <f>_xlfn.XLOOKUP(L42, Lookup_Performance!$A$2:$A$6, Lookup_Performance!$D$2:$D$6, 0, -1)</f>
        <v>0.05</v>
      </c>
      <c r="Q42" s="2">
        <f>K42*P42</f>
        <v>4312.25</v>
      </c>
    </row>
    <row r="43" spans="1:17" x14ac:dyDescent="0.25">
      <c r="A43" t="s">
        <v>107</v>
      </c>
      <c r="B43" t="s">
        <v>108</v>
      </c>
      <c r="C43" t="s">
        <v>14</v>
      </c>
      <c r="D43" t="str">
        <f t="shared" si="0"/>
        <v>David Hernandez</v>
      </c>
      <c r="E43" t="str">
        <f>_xlfn.XLOOKUP(F43, Lookup_Departments!$A$2:$A$7, Lookup_Departments!$B$2:$B$7, "Unknown")</f>
        <v>Sales</v>
      </c>
      <c r="F43" t="str">
        <f t="shared" si="1"/>
        <v>SAL05</v>
      </c>
      <c r="G43" t="s">
        <v>42</v>
      </c>
      <c r="H43" s="3">
        <f t="shared" si="2"/>
        <v>43958</v>
      </c>
      <c r="I43" s="21">
        <f t="shared" ca="1" si="3"/>
        <v>6</v>
      </c>
      <c r="J43" s="3">
        <v>43958</v>
      </c>
      <c r="K43" s="2">
        <v>52407</v>
      </c>
      <c r="L43">
        <v>55</v>
      </c>
      <c r="M43" t="s">
        <v>11</v>
      </c>
      <c r="N43" t="str" cm="1">
        <f t="array" ref="N43">_xlfn.SWITCH(TRIM(PROPER(M43)), "Active", "Active", "Actv", "Active", "Left", "Left", "Resigned", "Left", "Unknown")</f>
        <v>Active</v>
      </c>
      <c r="O43" t="str">
        <f>_xlfn.XLOOKUP(L43, Lookup_Performance!$A$2:$A$6, Lookup_Performance!$C$2:$C$6, "No Score", -1)</f>
        <v>Developing</v>
      </c>
      <c r="P43" s="11">
        <f>_xlfn.XLOOKUP(L43, Lookup_Performance!$A$2:$A$6, Lookup_Performance!$D$2:$D$6, 0, -1)</f>
        <v>0.02</v>
      </c>
      <c r="Q43" s="2">
        <f>K43*P43</f>
        <v>1048.1400000000001</v>
      </c>
    </row>
    <row r="44" spans="1:17" x14ac:dyDescent="0.25">
      <c r="A44" t="s">
        <v>109</v>
      </c>
      <c r="B44" t="s">
        <v>63</v>
      </c>
      <c r="C44" t="s">
        <v>27</v>
      </c>
      <c r="D44" t="str">
        <f t="shared" si="0"/>
        <v>James Smith</v>
      </c>
      <c r="E44" t="str">
        <f>_xlfn.XLOOKUP(F44, Lookup_Departments!$A$2:$A$7, Lookup_Departments!$B$2:$B$7, "Unknown")</f>
        <v>Operations</v>
      </c>
      <c r="F44" t="str">
        <f t="shared" si="1"/>
        <v>OPS06</v>
      </c>
      <c r="G44" t="s">
        <v>35</v>
      </c>
      <c r="H44" s="3">
        <f t="shared" si="2"/>
        <v>43549</v>
      </c>
      <c r="I44" s="21">
        <f t="shared" ca="1" si="3"/>
        <v>7</v>
      </c>
      <c r="J44" s="3">
        <v>43549</v>
      </c>
      <c r="K44" s="2">
        <v>66606</v>
      </c>
      <c r="L44">
        <v>93</v>
      </c>
      <c r="M44" t="s">
        <v>110</v>
      </c>
      <c r="N44" t="str" cm="1">
        <f t="array" ref="N44">_xlfn.SWITCH(TRIM(PROPER(M44)), "Active", "Active", "Actv", "Active", "Left", "Left", "Resigned", "Left", "Unknown")</f>
        <v>Left</v>
      </c>
      <c r="O44" t="str">
        <f>_xlfn.XLOOKUP(L44, Lookup_Performance!$A$2:$A$6, Lookup_Performance!$C$2:$C$6, "No Score", -1)</f>
        <v>Exceeding</v>
      </c>
      <c r="P44" s="11">
        <f>_xlfn.XLOOKUP(L44, Lookup_Performance!$A$2:$A$6, Lookup_Performance!$D$2:$D$6, 0, -1)</f>
        <v>0.08</v>
      </c>
      <c r="Q44" s="2">
        <f>K44*P44</f>
        <v>5328.4800000000005</v>
      </c>
    </row>
    <row r="45" spans="1:17" x14ac:dyDescent="0.25">
      <c r="A45" t="s">
        <v>111</v>
      </c>
      <c r="B45" t="s">
        <v>89</v>
      </c>
      <c r="C45" t="s">
        <v>51</v>
      </c>
      <c r="D45" t="str">
        <f t="shared" si="0"/>
        <v>Sarah Williams</v>
      </c>
      <c r="E45" t="str">
        <f>_xlfn.XLOOKUP(F45, Lookup_Departments!$A$2:$A$7, Lookup_Departments!$B$2:$B$7, "Unknown")</f>
        <v>Information Technology</v>
      </c>
      <c r="F45" t="str">
        <f t="shared" si="1"/>
        <v>IT02</v>
      </c>
      <c r="G45" t="s">
        <v>10</v>
      </c>
      <c r="H45" s="3">
        <f t="shared" si="2"/>
        <v>43686</v>
      </c>
      <c r="I45" s="21">
        <f t="shared" ca="1" si="3"/>
        <v>6</v>
      </c>
      <c r="J45" s="3">
        <v>43686</v>
      </c>
      <c r="K45" s="2">
        <v>81896</v>
      </c>
      <c r="L45">
        <v>79</v>
      </c>
      <c r="M45" t="s">
        <v>110</v>
      </c>
      <c r="N45" t="str" cm="1">
        <f t="array" ref="N45">_xlfn.SWITCH(TRIM(PROPER(M45)), "Active", "Active", "Actv", "Active", "Left", "Left", "Resigned", "Left", "Unknown")</f>
        <v>Left</v>
      </c>
      <c r="O45" t="str">
        <f>_xlfn.XLOOKUP(L45, Lookup_Performance!$A$2:$A$6, Lookup_Performance!$C$2:$C$6, "No Score", -1)</f>
        <v>Achieving</v>
      </c>
      <c r="P45" s="11">
        <f>_xlfn.XLOOKUP(L45, Lookup_Performance!$A$2:$A$6, Lookup_Performance!$D$2:$D$6, 0, -1)</f>
        <v>0.05</v>
      </c>
      <c r="Q45" s="2">
        <f>K45*P45</f>
        <v>4094.8</v>
      </c>
    </row>
    <row r="46" spans="1:17" x14ac:dyDescent="0.25">
      <c r="A46" t="s">
        <v>112</v>
      </c>
      <c r="B46" t="s">
        <v>68</v>
      </c>
      <c r="C46" t="s">
        <v>66</v>
      </c>
      <c r="D46" t="str">
        <f t="shared" si="0"/>
        <v>Amanda Lopez</v>
      </c>
      <c r="E46" t="str">
        <f>_xlfn.XLOOKUP(F46, Lookup_Departments!$A$2:$A$7, Lookup_Departments!$B$2:$B$7, "Unknown")</f>
        <v>Sales</v>
      </c>
      <c r="F46" t="str">
        <f t="shared" si="1"/>
        <v>SAL05</v>
      </c>
      <c r="G46" t="s">
        <v>42</v>
      </c>
      <c r="H46" s="3">
        <f t="shared" si="2"/>
        <v>42565</v>
      </c>
      <c r="I46" s="21">
        <f t="shared" ca="1" si="3"/>
        <v>9</v>
      </c>
      <c r="J46" s="3" t="s">
        <v>113</v>
      </c>
      <c r="K46" s="2">
        <v>78402</v>
      </c>
      <c r="L46">
        <v>54</v>
      </c>
      <c r="M46" t="s">
        <v>16</v>
      </c>
      <c r="N46" t="str" cm="1">
        <f t="array" ref="N46">_xlfn.SWITCH(TRIM(PROPER(M46)), "Active", "Active", "Actv", "Active", "Left", "Left", "Resigned", "Left", "Unknown")</f>
        <v>Active</v>
      </c>
      <c r="O46" t="str">
        <f>_xlfn.XLOOKUP(L46, Lookup_Performance!$A$2:$A$6, Lookup_Performance!$C$2:$C$6, "No Score", -1)</f>
        <v>Developing</v>
      </c>
      <c r="P46" s="11">
        <f>_xlfn.XLOOKUP(L46, Lookup_Performance!$A$2:$A$6, Lookup_Performance!$D$2:$D$6, 0, -1)</f>
        <v>0.02</v>
      </c>
      <c r="Q46" s="2">
        <f>K46*P46</f>
        <v>1568.04</v>
      </c>
    </row>
    <row r="47" spans="1:17" x14ac:dyDescent="0.25">
      <c r="A47" t="s">
        <v>114</v>
      </c>
      <c r="B47" t="s">
        <v>26</v>
      </c>
      <c r="C47" t="s">
        <v>66</v>
      </c>
      <c r="D47" t="str">
        <f t="shared" si="0"/>
        <v>Thomas Lopez</v>
      </c>
      <c r="E47" t="str">
        <f>_xlfn.XLOOKUP(F47, Lookup_Departments!$A$2:$A$7, Lookup_Departments!$B$2:$B$7, "Unknown")</f>
        <v>Operations</v>
      </c>
      <c r="F47" t="str">
        <f t="shared" si="1"/>
        <v>OPS06</v>
      </c>
      <c r="G47" t="s">
        <v>35</v>
      </c>
      <c r="H47" s="3">
        <f t="shared" si="2"/>
        <v>42647</v>
      </c>
      <c r="I47" s="21">
        <f t="shared" ca="1" si="3"/>
        <v>9</v>
      </c>
      <c r="J47" s="3">
        <v>42647</v>
      </c>
      <c r="K47" s="2">
        <v>105498</v>
      </c>
      <c r="L47">
        <v>76</v>
      </c>
      <c r="M47" t="s">
        <v>11</v>
      </c>
      <c r="N47" t="str" cm="1">
        <f t="array" ref="N47">_xlfn.SWITCH(TRIM(PROPER(M47)), "Active", "Active", "Actv", "Active", "Left", "Left", "Resigned", "Left", "Unknown")</f>
        <v>Active</v>
      </c>
      <c r="O47" t="str">
        <f>_xlfn.XLOOKUP(L47, Lookup_Performance!$A$2:$A$6, Lookup_Performance!$C$2:$C$6, "No Score", -1)</f>
        <v>Achieving</v>
      </c>
      <c r="P47" s="11">
        <f>_xlfn.XLOOKUP(L47, Lookup_Performance!$A$2:$A$6, Lookup_Performance!$D$2:$D$6, 0, -1)</f>
        <v>0.05</v>
      </c>
      <c r="Q47" s="2">
        <f>K47*P47</f>
        <v>5274.9000000000005</v>
      </c>
    </row>
    <row r="48" spans="1:17" x14ac:dyDescent="0.25">
      <c r="A48" t="s">
        <v>115</v>
      </c>
      <c r="B48" t="s">
        <v>100</v>
      </c>
      <c r="C48" t="s">
        <v>30</v>
      </c>
      <c r="D48" t="str">
        <f t="shared" si="0"/>
        <v>Melissa Johnson</v>
      </c>
      <c r="E48" t="str">
        <f>_xlfn.XLOOKUP(F48, Lookup_Departments!$A$2:$A$7, Lookup_Departments!$B$2:$B$7, "Unknown")</f>
        <v>Marketing</v>
      </c>
      <c r="F48" t="str">
        <f t="shared" si="1"/>
        <v>MKT04</v>
      </c>
      <c r="G48" t="s">
        <v>15</v>
      </c>
      <c r="H48" s="3">
        <f t="shared" si="2"/>
        <v>43656</v>
      </c>
      <c r="I48" s="21">
        <f t="shared" ca="1" si="3"/>
        <v>6</v>
      </c>
      <c r="J48" s="3" t="s">
        <v>116</v>
      </c>
      <c r="K48" s="2">
        <v>91749</v>
      </c>
      <c r="L48">
        <v>72</v>
      </c>
      <c r="M48" t="s">
        <v>103</v>
      </c>
      <c r="N48" t="str" cm="1">
        <f t="array" ref="N48">_xlfn.SWITCH(TRIM(PROPER(M48)), "Active", "Active", "Actv", "Active", "Left", "Left", "Resigned", "Left", "Unknown")</f>
        <v>Left</v>
      </c>
      <c r="O48" t="str">
        <f>_xlfn.XLOOKUP(L48, Lookup_Performance!$A$2:$A$6, Lookup_Performance!$C$2:$C$6, "No Score", -1)</f>
        <v>Achieving</v>
      </c>
      <c r="P48" s="11">
        <f>_xlfn.XLOOKUP(L48, Lookup_Performance!$A$2:$A$6, Lookup_Performance!$D$2:$D$6, 0, -1)</f>
        <v>0.05</v>
      </c>
      <c r="Q48" s="2">
        <f>K48*P48</f>
        <v>4587.45</v>
      </c>
    </row>
    <row r="49" spans="1:17" x14ac:dyDescent="0.25">
      <c r="A49" t="s">
        <v>117</v>
      </c>
      <c r="B49" t="s">
        <v>68</v>
      </c>
      <c r="C49" t="s">
        <v>30</v>
      </c>
      <c r="D49" t="str">
        <f t="shared" si="0"/>
        <v>Amanda Johnson</v>
      </c>
      <c r="E49" t="str">
        <f>_xlfn.XLOOKUP(F49, Lookup_Departments!$A$2:$A$7, Lookup_Departments!$B$2:$B$7, "Unknown")</f>
        <v>Operations</v>
      </c>
      <c r="F49" t="str">
        <f t="shared" si="1"/>
        <v>OPS06</v>
      </c>
      <c r="G49" t="s">
        <v>35</v>
      </c>
      <c r="H49" s="3">
        <f t="shared" si="2"/>
        <v>44437</v>
      </c>
      <c r="I49" s="21">
        <f t="shared" ca="1" si="3"/>
        <v>4</v>
      </c>
      <c r="J49" s="3">
        <v>44437</v>
      </c>
      <c r="K49" s="2">
        <v>99935</v>
      </c>
      <c r="L49">
        <v>84</v>
      </c>
      <c r="M49" t="s">
        <v>110</v>
      </c>
      <c r="N49" t="str" cm="1">
        <f t="array" ref="N49">_xlfn.SWITCH(TRIM(PROPER(M49)), "Active", "Active", "Actv", "Active", "Left", "Left", "Resigned", "Left", "Unknown")</f>
        <v>Left</v>
      </c>
      <c r="O49" t="str">
        <f>_xlfn.XLOOKUP(L49, Lookup_Performance!$A$2:$A$6, Lookup_Performance!$C$2:$C$6, "No Score", -1)</f>
        <v>Achieving</v>
      </c>
      <c r="P49" s="11">
        <f>_xlfn.XLOOKUP(L49, Lookup_Performance!$A$2:$A$6, Lookup_Performance!$D$2:$D$6, 0, -1)</f>
        <v>0.05</v>
      </c>
      <c r="Q49" s="2">
        <f>K49*P49</f>
        <v>4996.75</v>
      </c>
    </row>
    <row r="50" spans="1:17" x14ac:dyDescent="0.25">
      <c r="A50" t="s">
        <v>118</v>
      </c>
      <c r="B50" t="s">
        <v>22</v>
      </c>
      <c r="C50" t="s">
        <v>61</v>
      </c>
      <c r="D50" t="str">
        <f t="shared" si="0"/>
        <v>John Davis</v>
      </c>
      <c r="E50" t="str">
        <f>_xlfn.XLOOKUP(F50, Lookup_Departments!$A$2:$A$7, Lookup_Departments!$B$2:$B$7, "Unknown")</f>
        <v>Information Technology</v>
      </c>
      <c r="F50" t="str">
        <f t="shared" si="1"/>
        <v>IT02</v>
      </c>
      <c r="G50" t="s">
        <v>19</v>
      </c>
      <c r="H50" s="3">
        <f t="shared" si="2"/>
        <v>42761</v>
      </c>
      <c r="I50" s="21">
        <f t="shared" ca="1" si="3"/>
        <v>9</v>
      </c>
      <c r="J50" s="3">
        <v>42761</v>
      </c>
      <c r="K50" s="2">
        <v>83531</v>
      </c>
      <c r="L50">
        <v>30</v>
      </c>
      <c r="M50" t="s">
        <v>103</v>
      </c>
      <c r="N50" t="str" cm="1">
        <f t="array" ref="N50">_xlfn.SWITCH(TRIM(PROPER(M50)), "Active", "Active", "Actv", "Active", "Left", "Left", "Resigned", "Left", "Unknown")</f>
        <v>Left</v>
      </c>
      <c r="O50" t="str">
        <f>_xlfn.XLOOKUP(L50, Lookup_Performance!$A$2:$A$6, Lookup_Performance!$C$2:$C$6, "No Score", -1)</f>
        <v>Needs Improvement</v>
      </c>
      <c r="P50" s="11">
        <f>_xlfn.XLOOKUP(L50, Lookup_Performance!$A$2:$A$6, Lookup_Performance!$D$2:$D$6, 0, -1)</f>
        <v>0</v>
      </c>
      <c r="Q50" s="2">
        <f>K50*P50</f>
        <v>0</v>
      </c>
    </row>
    <row r="51" spans="1:17" x14ac:dyDescent="0.25">
      <c r="A51" t="s">
        <v>119</v>
      </c>
      <c r="B51" t="s">
        <v>63</v>
      </c>
      <c r="C51" t="s">
        <v>30</v>
      </c>
      <c r="D51" t="str">
        <f t="shared" si="0"/>
        <v>James Johnson</v>
      </c>
      <c r="E51" t="str">
        <f>_xlfn.XLOOKUP(F51, Lookup_Departments!$A$2:$A$7, Lookup_Departments!$B$2:$B$7, "Unknown")</f>
        <v>Marketing</v>
      </c>
      <c r="F51" t="str">
        <f t="shared" si="1"/>
        <v>MKT04</v>
      </c>
      <c r="G51" t="s">
        <v>52</v>
      </c>
      <c r="H51" s="3">
        <f t="shared" si="2"/>
        <v>43981</v>
      </c>
      <c r="I51" s="21">
        <f t="shared" ca="1" si="3"/>
        <v>6</v>
      </c>
      <c r="J51" s="3">
        <v>43981</v>
      </c>
      <c r="K51" s="2">
        <v>75023</v>
      </c>
      <c r="L51">
        <v>70</v>
      </c>
      <c r="M51" t="s">
        <v>16</v>
      </c>
      <c r="N51" t="str" cm="1">
        <f t="array" ref="N51">_xlfn.SWITCH(TRIM(PROPER(M51)), "Active", "Active", "Actv", "Active", "Left", "Left", "Resigned", "Left", "Unknown")</f>
        <v>Active</v>
      </c>
      <c r="O51" t="str">
        <f>_xlfn.XLOOKUP(L51, Lookup_Performance!$A$2:$A$6, Lookup_Performance!$C$2:$C$6, "No Score", -1)</f>
        <v>Achieving</v>
      </c>
      <c r="P51" s="11">
        <f>_xlfn.XLOOKUP(L51, Lookup_Performance!$A$2:$A$6, Lookup_Performance!$D$2:$D$6, 0, -1)</f>
        <v>0.05</v>
      </c>
      <c r="Q51" s="2">
        <f>K51*P51</f>
        <v>3751.15</v>
      </c>
    </row>
    <row r="52" spans="1:17" x14ac:dyDescent="0.25">
      <c r="A52" t="s">
        <v>120</v>
      </c>
      <c r="B52" t="s">
        <v>50</v>
      </c>
      <c r="C52" t="s">
        <v>61</v>
      </c>
      <c r="D52" t="str">
        <f t="shared" si="0"/>
        <v>Jane Davis</v>
      </c>
      <c r="E52" t="str">
        <f>_xlfn.XLOOKUP(F52, Lookup_Departments!$A$2:$A$7, Lookup_Departments!$B$2:$B$7, "Unknown")</f>
        <v>Human Resources</v>
      </c>
      <c r="F52" t="str">
        <f t="shared" si="1"/>
        <v>HR01</v>
      </c>
      <c r="G52" t="s">
        <v>92</v>
      </c>
      <c r="H52" s="3">
        <f t="shared" si="2"/>
        <v>44612</v>
      </c>
      <c r="I52" s="21">
        <f t="shared" ca="1" si="3"/>
        <v>4</v>
      </c>
      <c r="J52" s="3">
        <v>44612</v>
      </c>
      <c r="K52" s="2">
        <v>93290</v>
      </c>
      <c r="L52">
        <v>53</v>
      </c>
      <c r="M52" t="s">
        <v>16</v>
      </c>
      <c r="N52" t="str" cm="1">
        <f t="array" ref="N52">_xlfn.SWITCH(TRIM(PROPER(M52)), "Active", "Active", "Actv", "Active", "Left", "Left", "Resigned", "Left", "Unknown")</f>
        <v>Active</v>
      </c>
      <c r="O52" t="str">
        <f>_xlfn.XLOOKUP(L52, Lookup_Performance!$A$2:$A$6, Lookup_Performance!$C$2:$C$6, "No Score", -1)</f>
        <v>Developing</v>
      </c>
      <c r="P52" s="11">
        <f>_xlfn.XLOOKUP(L52, Lookup_Performance!$A$2:$A$6, Lookup_Performance!$D$2:$D$6, 0, -1)</f>
        <v>0.02</v>
      </c>
      <c r="Q52" s="2">
        <f>K52*P52</f>
        <v>1865.8</v>
      </c>
    </row>
    <row r="53" spans="1:17" x14ac:dyDescent="0.25">
      <c r="A53" t="s">
        <v>121</v>
      </c>
      <c r="B53" t="s">
        <v>13</v>
      </c>
      <c r="C53" t="s">
        <v>61</v>
      </c>
      <c r="D53" t="str">
        <f t="shared" si="0"/>
        <v>Richard Davis</v>
      </c>
      <c r="E53" t="str">
        <f>_xlfn.XLOOKUP(F53, Lookup_Departments!$A$2:$A$7, Lookup_Departments!$B$2:$B$7, "Unknown")</f>
        <v>Operations</v>
      </c>
      <c r="F53" t="str">
        <f t="shared" si="1"/>
        <v>OPS06</v>
      </c>
      <c r="G53" t="s">
        <v>31</v>
      </c>
      <c r="H53" s="3">
        <f t="shared" si="2"/>
        <v>42628</v>
      </c>
      <c r="I53" s="21">
        <f t="shared" ca="1" si="3"/>
        <v>9</v>
      </c>
      <c r="J53" s="3">
        <v>42628</v>
      </c>
      <c r="K53" s="2">
        <v>115527</v>
      </c>
      <c r="L53">
        <v>63</v>
      </c>
      <c r="M53" t="s">
        <v>110</v>
      </c>
      <c r="N53" t="str" cm="1">
        <f t="array" ref="N53">_xlfn.SWITCH(TRIM(PROPER(M53)), "Active", "Active", "Actv", "Active", "Left", "Left", "Resigned", "Left", "Unknown")</f>
        <v>Left</v>
      </c>
      <c r="O53" t="str">
        <f>_xlfn.XLOOKUP(L53, Lookup_Performance!$A$2:$A$6, Lookup_Performance!$C$2:$C$6, "No Score", -1)</f>
        <v>Developing</v>
      </c>
      <c r="P53" s="11">
        <f>_xlfn.XLOOKUP(L53, Lookup_Performance!$A$2:$A$6, Lookup_Performance!$D$2:$D$6, 0, -1)</f>
        <v>0.02</v>
      </c>
      <c r="Q53" s="2">
        <f>K53*P53</f>
        <v>2310.54</v>
      </c>
    </row>
    <row r="54" spans="1:17" x14ac:dyDescent="0.25">
      <c r="A54" t="s">
        <v>122</v>
      </c>
      <c r="B54" t="s">
        <v>26</v>
      </c>
      <c r="C54" t="s">
        <v>39</v>
      </c>
      <c r="D54" t="str">
        <f t="shared" si="0"/>
        <v>Thomas Rodriguez</v>
      </c>
      <c r="E54" t="str">
        <f>_xlfn.XLOOKUP(F54, Lookup_Departments!$A$2:$A$7, Lookup_Departments!$B$2:$B$7, "Unknown")</f>
        <v>Finance</v>
      </c>
      <c r="F54" t="str">
        <f t="shared" si="1"/>
        <v>FIN03</v>
      </c>
      <c r="G54" t="s">
        <v>73</v>
      </c>
      <c r="H54" s="3">
        <f t="shared" si="2"/>
        <v>43745</v>
      </c>
      <c r="I54" s="21">
        <f t="shared" ca="1" si="3"/>
        <v>6</v>
      </c>
      <c r="J54" s="3" t="s">
        <v>123</v>
      </c>
      <c r="K54" s="2">
        <v>55920</v>
      </c>
      <c r="L54">
        <v>84</v>
      </c>
      <c r="M54" t="s">
        <v>48</v>
      </c>
      <c r="N54" t="str" cm="1">
        <f t="array" ref="N54">_xlfn.SWITCH(TRIM(PROPER(M54)), "Active", "Active", "Actv", "Active", "Left", "Left", "Resigned", "Left", "Unknown")</f>
        <v>Active</v>
      </c>
      <c r="O54" t="str">
        <f>_xlfn.XLOOKUP(L54, Lookup_Performance!$A$2:$A$6, Lookup_Performance!$C$2:$C$6, "No Score", -1)</f>
        <v>Achieving</v>
      </c>
      <c r="P54" s="11">
        <f>_xlfn.XLOOKUP(L54, Lookup_Performance!$A$2:$A$6, Lookup_Performance!$D$2:$D$6, 0, -1)</f>
        <v>0.05</v>
      </c>
      <c r="Q54" s="2">
        <f>K54*P54</f>
        <v>2796</v>
      </c>
    </row>
    <row r="55" spans="1:17" x14ac:dyDescent="0.25">
      <c r="A55" t="s">
        <v>124</v>
      </c>
      <c r="B55" t="s">
        <v>8</v>
      </c>
      <c r="C55" t="s">
        <v>30</v>
      </c>
      <c r="D55" t="str">
        <f t="shared" si="0"/>
        <v>Emily Johnson</v>
      </c>
      <c r="E55" t="str">
        <f>_xlfn.XLOOKUP(F55, Lookup_Departments!$A$2:$A$7, Lookup_Departments!$B$2:$B$7, "Unknown")</f>
        <v>Sales</v>
      </c>
      <c r="F55" t="str">
        <f t="shared" si="1"/>
        <v>SAL05</v>
      </c>
      <c r="G55" t="s">
        <v>42</v>
      </c>
      <c r="H55" s="3">
        <f t="shared" si="2"/>
        <v>43464</v>
      </c>
      <c r="I55" s="21">
        <f t="shared" ca="1" si="3"/>
        <v>7</v>
      </c>
      <c r="J55" s="3">
        <v>43464</v>
      </c>
      <c r="K55" s="2">
        <v>80189</v>
      </c>
      <c r="L55">
        <v>30</v>
      </c>
      <c r="M55" t="s">
        <v>43</v>
      </c>
      <c r="N55" t="str" cm="1">
        <f t="array" ref="N55">_xlfn.SWITCH(TRIM(PROPER(M55)), "Active", "Active", "Actv", "Active", "Left", "Left", "Resigned", "Left", "Unknown")</f>
        <v>Active</v>
      </c>
      <c r="O55" t="str">
        <f>_xlfn.XLOOKUP(L55, Lookup_Performance!$A$2:$A$6, Lookup_Performance!$C$2:$C$6, "No Score", -1)</f>
        <v>Needs Improvement</v>
      </c>
      <c r="P55" s="11">
        <f>_xlfn.XLOOKUP(L55, Lookup_Performance!$A$2:$A$6, Lookup_Performance!$D$2:$D$6, 0, -1)</f>
        <v>0</v>
      </c>
      <c r="Q55" s="2">
        <f>K55*P55</f>
        <v>0</v>
      </c>
    </row>
    <row r="56" spans="1:17" x14ac:dyDescent="0.25">
      <c r="A56" t="s">
        <v>125</v>
      </c>
      <c r="B56" t="s">
        <v>8</v>
      </c>
      <c r="C56" t="s">
        <v>126</v>
      </c>
      <c r="D56" t="str">
        <f t="shared" si="0"/>
        <v>Emily Garcia</v>
      </c>
      <c r="E56" t="str">
        <f>_xlfn.XLOOKUP(F56, Lookup_Departments!$A$2:$A$7, Lookup_Departments!$B$2:$B$7, "Unknown")</f>
        <v>Human Resources</v>
      </c>
      <c r="F56" t="str">
        <f t="shared" si="1"/>
        <v>HR01</v>
      </c>
      <c r="G56" t="s">
        <v>92</v>
      </c>
      <c r="H56" s="3">
        <f t="shared" si="2"/>
        <v>44189</v>
      </c>
      <c r="I56" s="21">
        <f t="shared" ca="1" si="3"/>
        <v>5</v>
      </c>
      <c r="J56" s="3">
        <v>44189</v>
      </c>
      <c r="K56" s="2">
        <v>118947</v>
      </c>
      <c r="L56">
        <v>96</v>
      </c>
      <c r="M56" t="s">
        <v>11</v>
      </c>
      <c r="N56" t="str" cm="1">
        <f t="array" ref="N56">_xlfn.SWITCH(TRIM(PROPER(M56)), "Active", "Active", "Actv", "Active", "Left", "Left", "Resigned", "Left", "Unknown")</f>
        <v>Active</v>
      </c>
      <c r="O56" t="str">
        <f>_xlfn.XLOOKUP(L56, Lookup_Performance!$A$2:$A$6, Lookup_Performance!$C$2:$C$6, "No Score", -1)</f>
        <v>Outstanding</v>
      </c>
      <c r="P56" s="11">
        <f>_xlfn.XLOOKUP(L56, Lookup_Performance!$A$2:$A$6, Lookup_Performance!$D$2:$D$6, 0, -1)</f>
        <v>0.12</v>
      </c>
      <c r="Q56" s="2">
        <f>K56*P56</f>
        <v>14273.64</v>
      </c>
    </row>
    <row r="57" spans="1:17" x14ac:dyDescent="0.25">
      <c r="A57" t="s">
        <v>127</v>
      </c>
      <c r="B57" t="s">
        <v>50</v>
      </c>
      <c r="C57" t="s">
        <v>128</v>
      </c>
      <c r="D57" t="str">
        <f t="shared" si="0"/>
        <v>Jane Anderson</v>
      </c>
      <c r="E57" t="str">
        <f>_xlfn.XLOOKUP(F57, Lookup_Departments!$A$2:$A$7, Lookup_Departments!$B$2:$B$7, "Unknown")</f>
        <v>Information Technology</v>
      </c>
      <c r="F57" t="str">
        <f t="shared" si="1"/>
        <v>IT02</v>
      </c>
      <c r="G57" t="s">
        <v>10</v>
      </c>
      <c r="H57" s="3">
        <f t="shared" si="2"/>
        <v>45112</v>
      </c>
      <c r="I57" s="21">
        <f t="shared" ca="1" si="3"/>
        <v>3</v>
      </c>
      <c r="J57" s="3">
        <v>45112</v>
      </c>
      <c r="K57" s="2">
        <v>83604</v>
      </c>
      <c r="L57">
        <v>54</v>
      </c>
      <c r="M57" t="s">
        <v>48</v>
      </c>
      <c r="N57" t="str" cm="1">
        <f t="array" ref="N57">_xlfn.SWITCH(TRIM(PROPER(M57)), "Active", "Active", "Actv", "Active", "Left", "Left", "Resigned", "Left", "Unknown")</f>
        <v>Active</v>
      </c>
      <c r="O57" t="str">
        <f>_xlfn.XLOOKUP(L57, Lookup_Performance!$A$2:$A$6, Lookup_Performance!$C$2:$C$6, "No Score", -1)</f>
        <v>Developing</v>
      </c>
      <c r="P57" s="11">
        <f>_xlfn.XLOOKUP(L57, Lookup_Performance!$A$2:$A$6, Lookup_Performance!$D$2:$D$6, 0, -1)</f>
        <v>0.02</v>
      </c>
      <c r="Q57" s="2">
        <f>K57*P57</f>
        <v>1672.08</v>
      </c>
    </row>
    <row r="58" spans="1:17" x14ac:dyDescent="0.25">
      <c r="A58" t="s">
        <v>129</v>
      </c>
      <c r="B58" t="s">
        <v>26</v>
      </c>
      <c r="C58" t="s">
        <v>126</v>
      </c>
      <c r="D58" t="str">
        <f t="shared" si="0"/>
        <v>Thomas Garcia</v>
      </c>
      <c r="E58" t="str">
        <f>_xlfn.XLOOKUP(F58, Lookup_Departments!$A$2:$A$7, Lookup_Departments!$B$2:$B$7, "Unknown")</f>
        <v>Operations</v>
      </c>
      <c r="F58" t="str">
        <f t="shared" si="1"/>
        <v>OPS06</v>
      </c>
      <c r="G58" t="s">
        <v>35</v>
      </c>
      <c r="H58" s="3">
        <f t="shared" si="2"/>
        <v>44148</v>
      </c>
      <c r="I58" s="21">
        <f t="shared" ca="1" si="3"/>
        <v>5</v>
      </c>
      <c r="J58" s="3">
        <v>44148</v>
      </c>
      <c r="K58" s="2">
        <v>83604</v>
      </c>
      <c r="L58">
        <v>75</v>
      </c>
      <c r="M58" t="s">
        <v>48</v>
      </c>
      <c r="N58" t="str" cm="1">
        <f t="array" ref="N58">_xlfn.SWITCH(TRIM(PROPER(M58)), "Active", "Active", "Actv", "Active", "Left", "Left", "Resigned", "Left", "Unknown")</f>
        <v>Active</v>
      </c>
      <c r="O58" t="str">
        <f>_xlfn.XLOOKUP(L58, Lookup_Performance!$A$2:$A$6, Lookup_Performance!$C$2:$C$6, "No Score", -1)</f>
        <v>Achieving</v>
      </c>
      <c r="P58" s="11">
        <f>_xlfn.XLOOKUP(L58, Lookup_Performance!$A$2:$A$6, Lookup_Performance!$D$2:$D$6, 0, -1)</f>
        <v>0.05</v>
      </c>
      <c r="Q58" s="2">
        <f>K58*P58</f>
        <v>4180.2</v>
      </c>
    </row>
    <row r="59" spans="1:17" x14ac:dyDescent="0.25">
      <c r="A59" t="s">
        <v>130</v>
      </c>
      <c r="B59" t="s">
        <v>108</v>
      </c>
      <c r="C59" t="s">
        <v>23</v>
      </c>
      <c r="D59" t="str">
        <f t="shared" si="0"/>
        <v>David Martinez</v>
      </c>
      <c r="E59" t="str">
        <f>_xlfn.XLOOKUP(F59, Lookup_Departments!$A$2:$A$7, Lookup_Departments!$B$2:$B$7, "Unknown")</f>
        <v>Human Resources</v>
      </c>
      <c r="F59" t="str">
        <f t="shared" si="1"/>
        <v>HR01</v>
      </c>
      <c r="G59" t="s">
        <v>131</v>
      </c>
      <c r="H59" s="3">
        <f t="shared" si="2"/>
        <v>43138</v>
      </c>
      <c r="I59" s="21">
        <f t="shared" ca="1" si="3"/>
        <v>8</v>
      </c>
      <c r="J59" s="3" t="s">
        <v>132</v>
      </c>
      <c r="K59" s="2">
        <v>91655</v>
      </c>
      <c r="L59">
        <v>95</v>
      </c>
      <c r="M59" t="s">
        <v>43</v>
      </c>
      <c r="N59" t="str" cm="1">
        <f t="array" ref="N59">_xlfn.SWITCH(TRIM(PROPER(M59)), "Active", "Active", "Actv", "Active", "Left", "Left", "Resigned", "Left", "Unknown")</f>
        <v>Active</v>
      </c>
      <c r="O59" t="str">
        <f>_xlfn.XLOOKUP(L59, Lookup_Performance!$A$2:$A$6, Lookup_Performance!$C$2:$C$6, "No Score", -1)</f>
        <v>Outstanding</v>
      </c>
      <c r="P59" s="11">
        <f>_xlfn.XLOOKUP(L59, Lookup_Performance!$A$2:$A$6, Lookup_Performance!$D$2:$D$6, 0, -1)</f>
        <v>0.12</v>
      </c>
      <c r="Q59" s="2">
        <f>K59*P59</f>
        <v>10998.6</v>
      </c>
    </row>
    <row r="60" spans="1:17" x14ac:dyDescent="0.25">
      <c r="A60" t="s">
        <v>133</v>
      </c>
      <c r="B60" t="s">
        <v>8</v>
      </c>
      <c r="C60" t="s">
        <v>9</v>
      </c>
      <c r="D60" t="str">
        <f t="shared" si="0"/>
        <v>Emily Brown</v>
      </c>
      <c r="E60" t="str">
        <f>_xlfn.XLOOKUP(F60, Lookup_Departments!$A$2:$A$7, Lookup_Departments!$B$2:$B$7, "Unknown")</f>
        <v>Information Technology</v>
      </c>
      <c r="F60" t="str">
        <f t="shared" si="1"/>
        <v>IT02</v>
      </c>
      <c r="G60" t="s">
        <v>10</v>
      </c>
      <c r="H60" s="3">
        <f t="shared" si="2"/>
        <v>45255</v>
      </c>
      <c r="I60" s="21">
        <f t="shared" ca="1" si="3"/>
        <v>2</v>
      </c>
      <c r="J60" s="3">
        <v>45255</v>
      </c>
      <c r="K60" s="2">
        <v>49435</v>
      </c>
      <c r="L60">
        <v>70</v>
      </c>
      <c r="M60" t="s">
        <v>103</v>
      </c>
      <c r="N60" t="str" cm="1">
        <f t="array" ref="N60">_xlfn.SWITCH(TRIM(PROPER(M60)), "Active", "Active", "Actv", "Active", "Left", "Left", "Resigned", "Left", "Unknown")</f>
        <v>Left</v>
      </c>
      <c r="O60" t="str">
        <f>_xlfn.XLOOKUP(L60, Lookup_Performance!$A$2:$A$6, Lookup_Performance!$C$2:$C$6, "No Score", -1)</f>
        <v>Achieving</v>
      </c>
      <c r="P60" s="11">
        <f>_xlfn.XLOOKUP(L60, Lookup_Performance!$A$2:$A$6, Lookup_Performance!$D$2:$D$6, 0, -1)</f>
        <v>0.05</v>
      </c>
      <c r="Q60" s="2">
        <f>K60*P60</f>
        <v>2471.75</v>
      </c>
    </row>
    <row r="61" spans="1:17" x14ac:dyDescent="0.25">
      <c r="A61" t="s">
        <v>134</v>
      </c>
      <c r="B61" t="s">
        <v>8</v>
      </c>
      <c r="C61" t="s">
        <v>34</v>
      </c>
      <c r="D61" t="str">
        <f t="shared" si="0"/>
        <v>Emily Wilson</v>
      </c>
      <c r="E61" t="str">
        <f>_xlfn.XLOOKUP(F61, Lookup_Departments!$A$2:$A$7, Lookup_Departments!$B$2:$B$7, "Unknown")</f>
        <v>Sales</v>
      </c>
      <c r="F61" t="str">
        <f t="shared" si="1"/>
        <v>SAL05</v>
      </c>
      <c r="G61" t="s">
        <v>46</v>
      </c>
      <c r="H61" s="3">
        <f t="shared" si="2"/>
        <v>45217</v>
      </c>
      <c r="I61" s="21">
        <f t="shared" ca="1" si="3"/>
        <v>2</v>
      </c>
      <c r="J61" s="3">
        <v>45217</v>
      </c>
      <c r="K61" s="2">
        <v>110381</v>
      </c>
      <c r="L61">
        <v>93</v>
      </c>
      <c r="M61" t="s">
        <v>43</v>
      </c>
      <c r="N61" t="str" cm="1">
        <f t="array" ref="N61">_xlfn.SWITCH(TRIM(PROPER(M61)), "Active", "Active", "Actv", "Active", "Left", "Left", "Resigned", "Left", "Unknown")</f>
        <v>Active</v>
      </c>
      <c r="O61" t="str">
        <f>_xlfn.XLOOKUP(L61, Lookup_Performance!$A$2:$A$6, Lookup_Performance!$C$2:$C$6, "No Score", -1)</f>
        <v>Exceeding</v>
      </c>
      <c r="P61" s="11">
        <f>_xlfn.XLOOKUP(L61, Lookup_Performance!$A$2:$A$6, Lookup_Performance!$D$2:$D$6, 0, -1)</f>
        <v>0.08</v>
      </c>
      <c r="Q61" s="2">
        <f>K61*P61</f>
        <v>8830.48</v>
      </c>
    </row>
    <row r="62" spans="1:17" x14ac:dyDescent="0.25">
      <c r="A62" t="s">
        <v>135</v>
      </c>
      <c r="B62" t="s">
        <v>41</v>
      </c>
      <c r="C62" t="s">
        <v>128</v>
      </c>
      <c r="D62" t="str">
        <f t="shared" si="0"/>
        <v>Michael Anderson</v>
      </c>
      <c r="E62" t="str">
        <f>_xlfn.XLOOKUP(F62, Lookup_Departments!$A$2:$A$7, Lookup_Departments!$B$2:$B$7, "Unknown")</f>
        <v>Human Resources</v>
      </c>
      <c r="F62" t="str">
        <f t="shared" si="1"/>
        <v>HR01</v>
      </c>
      <c r="G62" t="s">
        <v>92</v>
      </c>
      <c r="H62" s="3">
        <f t="shared" si="2"/>
        <v>44079</v>
      </c>
      <c r="I62" s="21">
        <f t="shared" ca="1" si="3"/>
        <v>5</v>
      </c>
      <c r="J62" s="3">
        <v>44079</v>
      </c>
      <c r="K62" s="2">
        <v>114748</v>
      </c>
      <c r="L62">
        <v>33</v>
      </c>
      <c r="M62" t="s">
        <v>11</v>
      </c>
      <c r="N62" t="str" cm="1">
        <f t="array" ref="N62">_xlfn.SWITCH(TRIM(PROPER(M62)), "Active", "Active", "Actv", "Active", "Left", "Left", "Resigned", "Left", "Unknown")</f>
        <v>Active</v>
      </c>
      <c r="O62" t="str">
        <f>_xlfn.XLOOKUP(L62, Lookup_Performance!$A$2:$A$6, Lookup_Performance!$C$2:$C$6, "No Score", -1)</f>
        <v>Needs Improvement</v>
      </c>
      <c r="P62" s="11">
        <f>_xlfn.XLOOKUP(L62, Lookup_Performance!$A$2:$A$6, Lookup_Performance!$D$2:$D$6, 0, -1)</f>
        <v>0</v>
      </c>
      <c r="Q62" s="2">
        <f>K62*P62</f>
        <v>0</v>
      </c>
    </row>
    <row r="63" spans="1:17" x14ac:dyDescent="0.25">
      <c r="A63" t="s">
        <v>136</v>
      </c>
      <c r="B63" t="s">
        <v>56</v>
      </c>
      <c r="C63" t="s">
        <v>30</v>
      </c>
      <c r="D63" t="str">
        <f t="shared" si="0"/>
        <v>Robert Johnson</v>
      </c>
      <c r="E63" t="str">
        <f>_xlfn.XLOOKUP(F63, Lookup_Departments!$A$2:$A$7, Lookup_Departments!$B$2:$B$7, "Unknown")</f>
        <v>Operations</v>
      </c>
      <c r="F63" t="str">
        <f t="shared" si="1"/>
        <v>OPS06</v>
      </c>
      <c r="G63" t="s">
        <v>31</v>
      </c>
      <c r="H63" s="3">
        <f t="shared" si="2"/>
        <v>42800</v>
      </c>
      <c r="I63" s="21">
        <f t="shared" ca="1" si="3"/>
        <v>9</v>
      </c>
      <c r="J63" s="3">
        <v>42800</v>
      </c>
      <c r="K63" s="2">
        <v>63302</v>
      </c>
      <c r="L63">
        <v>91</v>
      </c>
      <c r="M63" t="s">
        <v>11</v>
      </c>
      <c r="N63" t="str" cm="1">
        <f t="array" ref="N63">_xlfn.SWITCH(TRIM(PROPER(M63)), "Active", "Active", "Actv", "Active", "Left", "Left", "Resigned", "Left", "Unknown")</f>
        <v>Active</v>
      </c>
      <c r="O63" t="str">
        <f>_xlfn.XLOOKUP(L63, Lookup_Performance!$A$2:$A$6, Lookup_Performance!$C$2:$C$6, "No Score", -1)</f>
        <v>Exceeding</v>
      </c>
      <c r="P63" s="11">
        <f>_xlfn.XLOOKUP(L63, Lookup_Performance!$A$2:$A$6, Lookup_Performance!$D$2:$D$6, 0, -1)</f>
        <v>0.08</v>
      </c>
      <c r="Q63" s="2">
        <f>K63*P63</f>
        <v>5064.16</v>
      </c>
    </row>
    <row r="64" spans="1:17" x14ac:dyDescent="0.25">
      <c r="A64" t="s">
        <v>137</v>
      </c>
      <c r="B64" t="s">
        <v>56</v>
      </c>
      <c r="C64" t="s">
        <v>45</v>
      </c>
      <c r="D64" t="str">
        <f t="shared" si="0"/>
        <v>Robert Miller</v>
      </c>
      <c r="E64" t="str">
        <f>_xlfn.XLOOKUP(F64, Lookup_Departments!$A$2:$A$7, Lookup_Departments!$B$2:$B$7, "Unknown")</f>
        <v>Information Technology</v>
      </c>
      <c r="F64" t="str">
        <f t="shared" si="1"/>
        <v>IT02</v>
      </c>
      <c r="G64" t="s">
        <v>80</v>
      </c>
      <c r="H64" s="3">
        <f t="shared" si="2"/>
        <v>42122</v>
      </c>
      <c r="I64" s="21">
        <f t="shared" ca="1" si="3"/>
        <v>11</v>
      </c>
      <c r="J64" s="3">
        <v>42122</v>
      </c>
      <c r="K64" s="2">
        <v>75519</v>
      </c>
      <c r="L64">
        <v>64</v>
      </c>
      <c r="M64" t="s">
        <v>11</v>
      </c>
      <c r="N64" t="str" cm="1">
        <f t="array" ref="N64">_xlfn.SWITCH(TRIM(PROPER(M64)), "Active", "Active", "Actv", "Active", "Left", "Left", "Resigned", "Left", "Unknown")</f>
        <v>Active</v>
      </c>
      <c r="O64" t="str">
        <f>_xlfn.XLOOKUP(L64, Lookup_Performance!$A$2:$A$6, Lookup_Performance!$C$2:$C$6, "No Score", -1)</f>
        <v>Developing</v>
      </c>
      <c r="P64" s="11">
        <f>_xlfn.XLOOKUP(L64, Lookup_Performance!$A$2:$A$6, Lookup_Performance!$D$2:$D$6, 0, -1)</f>
        <v>0.02</v>
      </c>
      <c r="Q64" s="2">
        <f>K64*P64</f>
        <v>1510.38</v>
      </c>
    </row>
    <row r="65" spans="1:17" x14ac:dyDescent="0.25">
      <c r="A65" t="s">
        <v>138</v>
      </c>
      <c r="B65" t="s">
        <v>50</v>
      </c>
      <c r="C65" t="s">
        <v>61</v>
      </c>
      <c r="D65" t="str">
        <f t="shared" si="0"/>
        <v>Jane Davis</v>
      </c>
      <c r="E65" t="str">
        <f>_xlfn.XLOOKUP(F65, Lookup_Departments!$A$2:$A$7, Lookup_Departments!$B$2:$B$7, "Unknown")</f>
        <v>Finance</v>
      </c>
      <c r="F65" t="str">
        <f t="shared" si="1"/>
        <v>FIN03</v>
      </c>
      <c r="G65" t="s">
        <v>73</v>
      </c>
      <c r="H65" s="3">
        <f t="shared" si="2"/>
        <v>42838</v>
      </c>
      <c r="I65" s="21">
        <f t="shared" ca="1" si="3"/>
        <v>9</v>
      </c>
      <c r="J65" s="3">
        <v>42838</v>
      </c>
      <c r="K65" s="2">
        <v>103891</v>
      </c>
      <c r="L65">
        <v>80</v>
      </c>
      <c r="M65" t="s">
        <v>11</v>
      </c>
      <c r="N65" t="str" cm="1">
        <f t="array" ref="N65">_xlfn.SWITCH(TRIM(PROPER(M65)), "Active", "Active", "Actv", "Active", "Left", "Left", "Resigned", "Left", "Unknown")</f>
        <v>Active</v>
      </c>
      <c r="O65" t="str">
        <f>_xlfn.XLOOKUP(L65, Lookup_Performance!$A$2:$A$6, Lookup_Performance!$C$2:$C$6, "No Score", -1)</f>
        <v>Achieving</v>
      </c>
      <c r="P65" s="11">
        <f>_xlfn.XLOOKUP(L65, Lookup_Performance!$A$2:$A$6, Lookup_Performance!$D$2:$D$6, 0, -1)</f>
        <v>0.05</v>
      </c>
      <c r="Q65" s="2">
        <f>K65*P65</f>
        <v>5194.55</v>
      </c>
    </row>
    <row r="66" spans="1:17" x14ac:dyDescent="0.25">
      <c r="A66" t="s">
        <v>139</v>
      </c>
      <c r="B66" t="s">
        <v>26</v>
      </c>
      <c r="C66" t="s">
        <v>61</v>
      </c>
      <c r="D66" t="str">
        <f t="shared" si="0"/>
        <v>Thomas Davis</v>
      </c>
      <c r="E66" t="str">
        <f>_xlfn.XLOOKUP(F66, Lookup_Departments!$A$2:$A$7, Lookup_Departments!$B$2:$B$7, "Unknown")</f>
        <v>Operations</v>
      </c>
      <c r="F66" t="str">
        <f t="shared" si="1"/>
        <v>OPS06</v>
      </c>
      <c r="G66" t="s">
        <v>31</v>
      </c>
      <c r="H66" s="3">
        <f t="shared" si="2"/>
        <v>44827</v>
      </c>
      <c r="I66" s="21">
        <f t="shared" ca="1" si="3"/>
        <v>3</v>
      </c>
      <c r="J66" s="3">
        <v>44827</v>
      </c>
      <c r="K66" s="2">
        <v>83604</v>
      </c>
      <c r="L66">
        <v>46</v>
      </c>
      <c r="M66" t="s">
        <v>20</v>
      </c>
      <c r="N66" t="str" cm="1">
        <f t="array" ref="N66">_xlfn.SWITCH(TRIM(PROPER(M66)), "Active", "Active", "Actv", "Active", "Left", "Left", "Resigned", "Left", "Unknown")</f>
        <v>Left</v>
      </c>
      <c r="O66" t="str">
        <f>_xlfn.XLOOKUP(L66, Lookup_Performance!$A$2:$A$6, Lookup_Performance!$C$2:$C$6, "No Score", -1)</f>
        <v>Needs Improvement</v>
      </c>
      <c r="P66" s="11">
        <f>_xlfn.XLOOKUP(L66, Lookup_Performance!$A$2:$A$6, Lookup_Performance!$D$2:$D$6, 0, -1)</f>
        <v>0</v>
      </c>
      <c r="Q66" s="2">
        <f>K66*P66</f>
        <v>0</v>
      </c>
    </row>
    <row r="67" spans="1:17" x14ac:dyDescent="0.25">
      <c r="A67" t="s">
        <v>140</v>
      </c>
      <c r="B67" t="s">
        <v>26</v>
      </c>
      <c r="C67" t="s">
        <v>57</v>
      </c>
      <c r="D67" t="str">
        <f t="shared" ref="D67:D130" si="4">IF(AND(ISBLANK(B67), ISBLANK(C67)), "- -", IF(ISBLANK(B67), "- " &amp; TRIM(PROPER(C67)), IF(ISBLANK(C67), TRIM(PROPER(B67)) &amp; " -", _xlfn.TEXTJOIN(" ", TRUE, TRIM(PROPER(B67)), TRIM(PROPER(C67))))))</f>
        <v>Thomas Jones</v>
      </c>
      <c r="E67" t="str">
        <f>_xlfn.XLOOKUP(F67, Lookup_Departments!$A$2:$A$7, Lookup_Departments!$B$2:$B$7, "Unknown")</f>
        <v>Marketing</v>
      </c>
      <c r="F67" t="str">
        <f t="shared" ref="F67:F130" si="5">UPPER(TRIM(G67))</f>
        <v>MKT04</v>
      </c>
      <c r="G67" t="s">
        <v>58</v>
      </c>
      <c r="H67" s="3">
        <f t="shared" ref="H67:H130" si="6">DATEVALUE(TEXT(J67, "dd-mmm-yyyy"))</f>
        <v>42685</v>
      </c>
      <c r="I67" s="21">
        <f t="shared" ref="I67:I130" ca="1" si="7">DATEDIF(H67, TODAY(), "Y")</f>
        <v>9</v>
      </c>
      <c r="J67" s="3" t="s">
        <v>141</v>
      </c>
      <c r="K67" s="2">
        <v>50936</v>
      </c>
      <c r="L67">
        <v>99</v>
      </c>
      <c r="M67" t="s">
        <v>11</v>
      </c>
      <c r="N67" t="str" cm="1">
        <f t="array" ref="N67">_xlfn.SWITCH(TRIM(PROPER(M67)), "Active", "Active", "Actv", "Active", "Left", "Left", "Resigned", "Left", "Unknown")</f>
        <v>Active</v>
      </c>
      <c r="O67" t="str">
        <f>_xlfn.XLOOKUP(L67, Lookup_Performance!$A$2:$A$6, Lookup_Performance!$C$2:$C$6, "No Score", -1)</f>
        <v>Outstanding</v>
      </c>
      <c r="P67" s="11">
        <f>_xlfn.XLOOKUP(L67, Lookup_Performance!$A$2:$A$6, Lookup_Performance!$D$2:$D$6, 0, -1)</f>
        <v>0.12</v>
      </c>
      <c r="Q67" s="2">
        <f>K67*P67</f>
        <v>6112.32</v>
      </c>
    </row>
    <row r="68" spans="1:17" x14ac:dyDescent="0.25">
      <c r="A68" t="s">
        <v>142</v>
      </c>
      <c r="B68" t="s">
        <v>41</v>
      </c>
      <c r="C68" t="s">
        <v>45</v>
      </c>
      <c r="D68" t="str">
        <f t="shared" si="4"/>
        <v>Michael Miller</v>
      </c>
      <c r="E68" t="str">
        <f>_xlfn.XLOOKUP(F68, Lookup_Departments!$A$2:$A$7, Lookup_Departments!$B$2:$B$7, "Unknown")</f>
        <v>Sales</v>
      </c>
      <c r="F68" t="str">
        <f t="shared" si="5"/>
        <v>SAL05</v>
      </c>
      <c r="G68" t="s">
        <v>76</v>
      </c>
      <c r="H68" s="3">
        <f t="shared" si="6"/>
        <v>42818</v>
      </c>
      <c r="I68" s="21">
        <f t="shared" ca="1" si="7"/>
        <v>9</v>
      </c>
      <c r="J68" s="3" t="s">
        <v>143</v>
      </c>
      <c r="K68" s="2">
        <v>111240</v>
      </c>
      <c r="L68">
        <v>70</v>
      </c>
      <c r="M68" t="s">
        <v>48</v>
      </c>
      <c r="N68" t="str" cm="1">
        <f t="array" ref="N68">_xlfn.SWITCH(TRIM(PROPER(M68)), "Active", "Active", "Actv", "Active", "Left", "Left", "Resigned", "Left", "Unknown")</f>
        <v>Active</v>
      </c>
      <c r="O68" t="str">
        <f>_xlfn.XLOOKUP(L68, Lookup_Performance!$A$2:$A$6, Lookup_Performance!$C$2:$C$6, "No Score", -1)</f>
        <v>Achieving</v>
      </c>
      <c r="P68" s="11">
        <f>_xlfn.XLOOKUP(L68, Lookup_Performance!$A$2:$A$6, Lookup_Performance!$D$2:$D$6, 0, -1)</f>
        <v>0.05</v>
      </c>
      <c r="Q68" s="2">
        <f>K68*P68</f>
        <v>5562</v>
      </c>
    </row>
    <row r="69" spans="1:17" x14ac:dyDescent="0.25">
      <c r="A69" t="s">
        <v>144</v>
      </c>
      <c r="B69" t="s">
        <v>13</v>
      </c>
      <c r="C69" t="s">
        <v>18</v>
      </c>
      <c r="D69" t="str">
        <f t="shared" si="4"/>
        <v>Richard Gonzalez</v>
      </c>
      <c r="E69" t="str">
        <f>_xlfn.XLOOKUP(F69, Lookup_Departments!$A$2:$A$7, Lookup_Departments!$B$2:$B$7, "Unknown")</f>
        <v>Human Resources</v>
      </c>
      <c r="F69" t="str">
        <f t="shared" si="5"/>
        <v>HR01</v>
      </c>
      <c r="G69" t="s">
        <v>92</v>
      </c>
      <c r="H69" s="3">
        <f t="shared" si="6"/>
        <v>43590</v>
      </c>
      <c r="I69" s="21">
        <f t="shared" ca="1" si="7"/>
        <v>7</v>
      </c>
      <c r="J69" s="3" t="s">
        <v>145</v>
      </c>
      <c r="K69" s="2">
        <v>51567</v>
      </c>
      <c r="L69">
        <v>87</v>
      </c>
      <c r="M69" t="s">
        <v>110</v>
      </c>
      <c r="N69" t="str" cm="1">
        <f t="array" ref="N69">_xlfn.SWITCH(TRIM(PROPER(M69)), "Active", "Active", "Actv", "Active", "Left", "Left", "Resigned", "Left", "Unknown")</f>
        <v>Left</v>
      </c>
      <c r="O69" t="str">
        <f>_xlfn.XLOOKUP(L69, Lookup_Performance!$A$2:$A$6, Lookup_Performance!$C$2:$C$6, "No Score", -1)</f>
        <v>Exceeding</v>
      </c>
      <c r="P69" s="11">
        <f>_xlfn.XLOOKUP(L69, Lookup_Performance!$A$2:$A$6, Lookup_Performance!$D$2:$D$6, 0, -1)</f>
        <v>0.08</v>
      </c>
      <c r="Q69" s="2">
        <f>K69*P69</f>
        <v>4125.3599999999997</v>
      </c>
    </row>
    <row r="70" spans="1:17" x14ac:dyDescent="0.25">
      <c r="A70" t="s">
        <v>146</v>
      </c>
      <c r="B70" t="s">
        <v>100</v>
      </c>
      <c r="C70" t="s">
        <v>51</v>
      </c>
      <c r="D70" t="str">
        <f t="shared" si="4"/>
        <v>Melissa Williams</v>
      </c>
      <c r="E70" t="str">
        <f>_xlfn.XLOOKUP(F70, Lookup_Departments!$A$2:$A$7, Lookup_Departments!$B$2:$B$7, "Unknown")</f>
        <v>Human Resources</v>
      </c>
      <c r="F70" t="str">
        <f t="shared" si="5"/>
        <v>HR01</v>
      </c>
      <c r="G70" t="s">
        <v>147</v>
      </c>
      <c r="H70" s="3">
        <f t="shared" si="6"/>
        <v>44402</v>
      </c>
      <c r="I70" s="21">
        <f t="shared" ca="1" si="7"/>
        <v>4</v>
      </c>
      <c r="J70" s="3">
        <v>44402</v>
      </c>
      <c r="K70" s="2">
        <v>83604</v>
      </c>
      <c r="L70">
        <v>36</v>
      </c>
      <c r="M70" t="s">
        <v>43</v>
      </c>
      <c r="N70" t="str" cm="1">
        <f t="array" ref="N70">_xlfn.SWITCH(TRIM(PROPER(M70)), "Active", "Active", "Actv", "Active", "Left", "Left", "Resigned", "Left", "Unknown")</f>
        <v>Active</v>
      </c>
      <c r="O70" t="str">
        <f>_xlfn.XLOOKUP(L70, Lookup_Performance!$A$2:$A$6, Lookup_Performance!$C$2:$C$6, "No Score", -1)</f>
        <v>Needs Improvement</v>
      </c>
      <c r="P70" s="11">
        <f>_xlfn.XLOOKUP(L70, Lookup_Performance!$A$2:$A$6, Lookup_Performance!$D$2:$D$6, 0, -1)</f>
        <v>0</v>
      </c>
      <c r="Q70" s="2">
        <f>K70*P70</f>
        <v>0</v>
      </c>
    </row>
    <row r="71" spans="1:17" x14ac:dyDescent="0.25">
      <c r="A71" t="s">
        <v>148</v>
      </c>
      <c r="B71" t="s">
        <v>56</v>
      </c>
      <c r="C71" t="s">
        <v>45</v>
      </c>
      <c r="D71" t="str">
        <f t="shared" si="4"/>
        <v>Robert Miller</v>
      </c>
      <c r="E71" t="str">
        <f>_xlfn.XLOOKUP(F71, Lookup_Departments!$A$2:$A$7, Lookup_Departments!$B$2:$B$7, "Unknown")</f>
        <v>Human Resources</v>
      </c>
      <c r="F71" t="str">
        <f t="shared" si="5"/>
        <v>HR01</v>
      </c>
      <c r="G71" t="s">
        <v>92</v>
      </c>
      <c r="H71" s="3">
        <f t="shared" si="6"/>
        <v>43008</v>
      </c>
      <c r="I71" s="21">
        <f t="shared" ca="1" si="7"/>
        <v>8</v>
      </c>
      <c r="J71" s="3">
        <v>43008</v>
      </c>
      <c r="K71" s="2">
        <v>55270</v>
      </c>
      <c r="L71">
        <v>87</v>
      </c>
      <c r="M71" t="s">
        <v>48</v>
      </c>
      <c r="N71" t="str" cm="1">
        <f t="array" ref="N71">_xlfn.SWITCH(TRIM(PROPER(M71)), "Active", "Active", "Actv", "Active", "Left", "Left", "Resigned", "Left", "Unknown")</f>
        <v>Active</v>
      </c>
      <c r="O71" t="str">
        <f>_xlfn.XLOOKUP(L71, Lookup_Performance!$A$2:$A$6, Lookup_Performance!$C$2:$C$6, "No Score", -1)</f>
        <v>Exceeding</v>
      </c>
      <c r="P71" s="11">
        <f>_xlfn.XLOOKUP(L71, Lookup_Performance!$A$2:$A$6, Lookup_Performance!$D$2:$D$6, 0, -1)</f>
        <v>0.08</v>
      </c>
      <c r="Q71" s="2">
        <f>K71*P71</f>
        <v>4421.6000000000004</v>
      </c>
    </row>
    <row r="72" spans="1:17" x14ac:dyDescent="0.25">
      <c r="A72" t="s">
        <v>149</v>
      </c>
      <c r="B72" t="s">
        <v>150</v>
      </c>
      <c r="C72" t="s">
        <v>126</v>
      </c>
      <c r="D72" t="str">
        <f t="shared" si="4"/>
        <v>William Garcia</v>
      </c>
      <c r="E72" t="str">
        <f>_xlfn.XLOOKUP(F72, Lookup_Departments!$A$2:$A$7, Lookup_Departments!$B$2:$B$7, "Unknown")</f>
        <v>Sales</v>
      </c>
      <c r="F72" t="str">
        <f t="shared" si="5"/>
        <v>SAL05</v>
      </c>
      <c r="G72" t="s">
        <v>42</v>
      </c>
      <c r="H72" s="3">
        <f t="shared" si="6"/>
        <v>42192</v>
      </c>
      <c r="I72" s="21">
        <f t="shared" ca="1" si="7"/>
        <v>10</v>
      </c>
      <c r="J72" s="3">
        <v>42192</v>
      </c>
      <c r="K72" s="2">
        <v>65235</v>
      </c>
      <c r="L72">
        <v>97</v>
      </c>
      <c r="M72" t="s">
        <v>16</v>
      </c>
      <c r="N72" t="str" cm="1">
        <f t="array" ref="N72">_xlfn.SWITCH(TRIM(PROPER(M72)), "Active", "Active", "Actv", "Active", "Left", "Left", "Resigned", "Left", "Unknown")</f>
        <v>Active</v>
      </c>
      <c r="O72" t="str">
        <f>_xlfn.XLOOKUP(L72, Lookup_Performance!$A$2:$A$6, Lookup_Performance!$C$2:$C$6, "No Score", -1)</f>
        <v>Outstanding</v>
      </c>
      <c r="P72" s="11">
        <f>_xlfn.XLOOKUP(L72, Lookup_Performance!$A$2:$A$6, Lookup_Performance!$D$2:$D$6, 0, -1)</f>
        <v>0.12</v>
      </c>
      <c r="Q72" s="2">
        <f>K72*P72</f>
        <v>7828.2</v>
      </c>
    </row>
    <row r="73" spans="1:17" x14ac:dyDescent="0.25">
      <c r="A73" t="s">
        <v>151</v>
      </c>
      <c r="B73" t="s">
        <v>22</v>
      </c>
      <c r="C73" t="s">
        <v>18</v>
      </c>
      <c r="D73" t="str">
        <f t="shared" si="4"/>
        <v>John Gonzalez</v>
      </c>
      <c r="E73" t="str">
        <f>_xlfn.XLOOKUP(F73, Lookup_Departments!$A$2:$A$7, Lookup_Departments!$B$2:$B$7, "Unknown")</f>
        <v>Sales</v>
      </c>
      <c r="F73" t="str">
        <f t="shared" si="5"/>
        <v>SAL05</v>
      </c>
      <c r="G73" t="s">
        <v>42</v>
      </c>
      <c r="H73" s="3">
        <f t="shared" si="6"/>
        <v>43283</v>
      </c>
      <c r="I73" s="21">
        <f t="shared" ca="1" si="7"/>
        <v>8</v>
      </c>
      <c r="J73" s="3">
        <v>43283</v>
      </c>
      <c r="K73" s="2">
        <v>83604</v>
      </c>
      <c r="L73">
        <v>72</v>
      </c>
      <c r="M73" t="s">
        <v>20</v>
      </c>
      <c r="N73" t="str" cm="1">
        <f t="array" ref="N73">_xlfn.SWITCH(TRIM(PROPER(M73)), "Active", "Active", "Actv", "Active", "Left", "Left", "Resigned", "Left", "Unknown")</f>
        <v>Left</v>
      </c>
      <c r="O73" t="str">
        <f>_xlfn.XLOOKUP(L73, Lookup_Performance!$A$2:$A$6, Lookup_Performance!$C$2:$C$6, "No Score", -1)</f>
        <v>Achieving</v>
      </c>
      <c r="P73" s="11">
        <f>_xlfn.XLOOKUP(L73, Lookup_Performance!$A$2:$A$6, Lookup_Performance!$D$2:$D$6, 0, -1)</f>
        <v>0.05</v>
      </c>
      <c r="Q73" s="2">
        <f>K73*P73</f>
        <v>4180.2</v>
      </c>
    </row>
    <row r="74" spans="1:17" x14ac:dyDescent="0.25">
      <c r="A74" t="s">
        <v>152</v>
      </c>
      <c r="B74" t="s">
        <v>63</v>
      </c>
      <c r="C74" t="s">
        <v>18</v>
      </c>
      <c r="D74" t="str">
        <f t="shared" si="4"/>
        <v>James Gonzalez</v>
      </c>
      <c r="E74" t="str">
        <f>_xlfn.XLOOKUP(F74, Lookup_Departments!$A$2:$A$7, Lookup_Departments!$B$2:$B$7, "Unknown")</f>
        <v>Sales</v>
      </c>
      <c r="F74" t="str">
        <f t="shared" si="5"/>
        <v>SAL05</v>
      </c>
      <c r="G74" t="s">
        <v>46</v>
      </c>
      <c r="H74" s="3">
        <f t="shared" si="6"/>
        <v>44819</v>
      </c>
      <c r="I74" s="21">
        <f t="shared" ca="1" si="7"/>
        <v>3</v>
      </c>
      <c r="J74" s="3">
        <v>44819</v>
      </c>
      <c r="K74" s="2">
        <v>83604</v>
      </c>
      <c r="L74">
        <v>65</v>
      </c>
      <c r="M74" t="s">
        <v>20</v>
      </c>
      <c r="N74" t="str" cm="1">
        <f t="array" ref="N74">_xlfn.SWITCH(TRIM(PROPER(M74)), "Active", "Active", "Actv", "Active", "Left", "Left", "Resigned", "Left", "Unknown")</f>
        <v>Left</v>
      </c>
      <c r="O74" t="str">
        <f>_xlfn.XLOOKUP(L74, Lookup_Performance!$A$2:$A$6, Lookup_Performance!$C$2:$C$6, "No Score", -1)</f>
        <v>Developing</v>
      </c>
      <c r="P74" s="11">
        <f>_xlfn.XLOOKUP(L74, Lookup_Performance!$A$2:$A$6, Lookup_Performance!$D$2:$D$6, 0, -1)</f>
        <v>0.02</v>
      </c>
      <c r="Q74" s="2">
        <f>K74*P74</f>
        <v>1672.08</v>
      </c>
    </row>
    <row r="75" spans="1:17" x14ac:dyDescent="0.25">
      <c r="A75" t="s">
        <v>153</v>
      </c>
      <c r="B75" t="s">
        <v>50</v>
      </c>
      <c r="C75" t="s">
        <v>18</v>
      </c>
      <c r="D75" t="str">
        <f t="shared" si="4"/>
        <v>Jane Gonzalez</v>
      </c>
      <c r="E75" t="str">
        <f>_xlfn.XLOOKUP(F75, Lookup_Departments!$A$2:$A$7, Lookup_Departments!$B$2:$B$7, "Unknown")</f>
        <v>Sales</v>
      </c>
      <c r="F75" t="str">
        <f t="shared" si="5"/>
        <v>SAL05</v>
      </c>
      <c r="G75" t="s">
        <v>76</v>
      </c>
      <c r="H75" s="3">
        <f t="shared" si="6"/>
        <v>42249</v>
      </c>
      <c r="I75" s="21">
        <f t="shared" ca="1" si="7"/>
        <v>10</v>
      </c>
      <c r="J75" s="3">
        <v>42249</v>
      </c>
      <c r="K75" s="2">
        <v>83604</v>
      </c>
      <c r="L75">
        <v>67</v>
      </c>
      <c r="M75" t="s">
        <v>48</v>
      </c>
      <c r="N75" t="str" cm="1">
        <f t="array" ref="N75">_xlfn.SWITCH(TRIM(PROPER(M75)), "Active", "Active", "Actv", "Active", "Left", "Left", "Resigned", "Left", "Unknown")</f>
        <v>Active</v>
      </c>
      <c r="O75" t="str">
        <f>_xlfn.XLOOKUP(L75, Lookup_Performance!$A$2:$A$6, Lookup_Performance!$C$2:$C$6, "No Score", -1)</f>
        <v>Developing</v>
      </c>
      <c r="P75" s="11">
        <f>_xlfn.XLOOKUP(L75, Lookup_Performance!$A$2:$A$6, Lookup_Performance!$D$2:$D$6, 0, -1)</f>
        <v>0.02</v>
      </c>
      <c r="Q75" s="2">
        <f>K75*P75</f>
        <v>1672.08</v>
      </c>
    </row>
    <row r="76" spans="1:17" x14ac:dyDescent="0.25">
      <c r="A76" t="s">
        <v>154</v>
      </c>
      <c r="B76" t="s">
        <v>108</v>
      </c>
      <c r="C76" t="s">
        <v>34</v>
      </c>
      <c r="D76" t="str">
        <f t="shared" si="4"/>
        <v>David Wilson</v>
      </c>
      <c r="E76" t="str">
        <f>_xlfn.XLOOKUP(F76, Lookup_Departments!$A$2:$A$7, Lookup_Departments!$B$2:$B$7, "Unknown")</f>
        <v>Operations</v>
      </c>
      <c r="F76" t="str">
        <f t="shared" si="5"/>
        <v>OPS06</v>
      </c>
      <c r="G76" t="s">
        <v>155</v>
      </c>
      <c r="H76" s="3">
        <f t="shared" si="6"/>
        <v>42654</v>
      </c>
      <c r="I76" s="21">
        <f t="shared" ca="1" si="7"/>
        <v>9</v>
      </c>
      <c r="J76" s="3" t="s">
        <v>156</v>
      </c>
      <c r="K76" s="2">
        <v>48823</v>
      </c>
      <c r="L76">
        <v>34</v>
      </c>
      <c r="M76" t="s">
        <v>16</v>
      </c>
      <c r="N76" t="str" cm="1">
        <f t="array" ref="N76">_xlfn.SWITCH(TRIM(PROPER(M76)), "Active", "Active", "Actv", "Active", "Left", "Left", "Resigned", "Left", "Unknown")</f>
        <v>Active</v>
      </c>
      <c r="O76" t="str">
        <f>_xlfn.XLOOKUP(L76, Lookup_Performance!$A$2:$A$6, Lookup_Performance!$C$2:$C$6, "No Score", -1)</f>
        <v>Needs Improvement</v>
      </c>
      <c r="P76" s="11">
        <f>_xlfn.XLOOKUP(L76, Lookup_Performance!$A$2:$A$6, Lookup_Performance!$D$2:$D$6, 0, -1)</f>
        <v>0</v>
      </c>
      <c r="Q76" s="2">
        <f>K76*P76</f>
        <v>0</v>
      </c>
    </row>
    <row r="77" spans="1:17" x14ac:dyDescent="0.25">
      <c r="A77" t="s">
        <v>157</v>
      </c>
      <c r="B77" t="s">
        <v>50</v>
      </c>
      <c r="C77" t="s">
        <v>18</v>
      </c>
      <c r="D77" t="str">
        <f t="shared" si="4"/>
        <v>Jane Gonzalez</v>
      </c>
      <c r="E77" t="str">
        <f>_xlfn.XLOOKUP(F77, Lookup_Departments!$A$2:$A$7, Lookup_Departments!$B$2:$B$7, "Unknown")</f>
        <v>Finance</v>
      </c>
      <c r="F77" t="str">
        <f t="shared" si="5"/>
        <v>FIN03</v>
      </c>
      <c r="G77" t="s">
        <v>73</v>
      </c>
      <c r="H77" s="3">
        <f t="shared" si="6"/>
        <v>43575</v>
      </c>
      <c r="I77" s="21">
        <f t="shared" ca="1" si="7"/>
        <v>7</v>
      </c>
      <c r="J77" s="3">
        <v>43575</v>
      </c>
      <c r="K77" s="2">
        <v>45196</v>
      </c>
      <c r="L77">
        <v>78</v>
      </c>
      <c r="M77" t="s">
        <v>20</v>
      </c>
      <c r="N77" t="str" cm="1">
        <f t="array" ref="N77">_xlfn.SWITCH(TRIM(PROPER(M77)), "Active", "Active", "Actv", "Active", "Left", "Left", "Resigned", "Left", "Unknown")</f>
        <v>Left</v>
      </c>
      <c r="O77" t="str">
        <f>_xlfn.XLOOKUP(L77, Lookup_Performance!$A$2:$A$6, Lookup_Performance!$C$2:$C$6, "No Score", -1)</f>
        <v>Achieving</v>
      </c>
      <c r="P77" s="11">
        <f>_xlfn.XLOOKUP(L77, Lookup_Performance!$A$2:$A$6, Lookup_Performance!$D$2:$D$6, 0, -1)</f>
        <v>0.05</v>
      </c>
      <c r="Q77" s="2">
        <f>K77*P77</f>
        <v>2259.8000000000002</v>
      </c>
    </row>
    <row r="78" spans="1:17" x14ac:dyDescent="0.25">
      <c r="A78" t="s">
        <v>158</v>
      </c>
      <c r="B78" t="s">
        <v>50</v>
      </c>
      <c r="C78" t="s">
        <v>39</v>
      </c>
      <c r="D78" t="str">
        <f t="shared" si="4"/>
        <v>Jane Rodriguez</v>
      </c>
      <c r="E78" t="str">
        <f>_xlfn.XLOOKUP(F78, Lookup_Departments!$A$2:$A$7, Lookup_Departments!$B$2:$B$7, "Unknown")</f>
        <v>Information Technology</v>
      </c>
      <c r="F78" t="str">
        <f t="shared" si="5"/>
        <v>IT02</v>
      </c>
      <c r="G78" t="s">
        <v>10</v>
      </c>
      <c r="H78" s="3">
        <f t="shared" si="6"/>
        <v>42785</v>
      </c>
      <c r="I78" s="21">
        <f t="shared" ca="1" si="7"/>
        <v>9</v>
      </c>
      <c r="J78" s="3" t="s">
        <v>159</v>
      </c>
      <c r="K78" s="2">
        <v>86246</v>
      </c>
      <c r="L78">
        <v>61</v>
      </c>
      <c r="M78" t="s">
        <v>48</v>
      </c>
      <c r="N78" t="str" cm="1">
        <f t="array" ref="N78">_xlfn.SWITCH(TRIM(PROPER(M78)), "Active", "Active", "Actv", "Active", "Left", "Left", "Resigned", "Left", "Unknown")</f>
        <v>Active</v>
      </c>
      <c r="O78" t="str">
        <f>_xlfn.XLOOKUP(L78, Lookup_Performance!$A$2:$A$6, Lookup_Performance!$C$2:$C$6, "No Score", -1)</f>
        <v>Developing</v>
      </c>
      <c r="P78" s="11">
        <f>_xlfn.XLOOKUP(L78, Lookup_Performance!$A$2:$A$6, Lookup_Performance!$D$2:$D$6, 0, -1)</f>
        <v>0.02</v>
      </c>
      <c r="Q78" s="2">
        <f>K78*P78</f>
        <v>1724.92</v>
      </c>
    </row>
    <row r="79" spans="1:17" x14ac:dyDescent="0.25">
      <c r="A79" t="s">
        <v>160</v>
      </c>
      <c r="B79" t="s">
        <v>8</v>
      </c>
      <c r="C79" t="s">
        <v>45</v>
      </c>
      <c r="D79" t="str">
        <f t="shared" si="4"/>
        <v>Emily Miller</v>
      </c>
      <c r="E79" t="str">
        <f>_xlfn.XLOOKUP(F79, Lookup_Departments!$A$2:$A$7, Lookup_Departments!$B$2:$B$7, "Unknown")</f>
        <v>Sales</v>
      </c>
      <c r="F79" t="str">
        <f t="shared" si="5"/>
        <v>SAL05</v>
      </c>
      <c r="G79" t="s">
        <v>42</v>
      </c>
      <c r="H79" s="3">
        <f t="shared" si="6"/>
        <v>44446</v>
      </c>
      <c r="I79" s="21">
        <f t="shared" ca="1" si="7"/>
        <v>4</v>
      </c>
      <c r="J79" s="3" t="s">
        <v>161</v>
      </c>
      <c r="K79" s="2">
        <v>70359</v>
      </c>
      <c r="L79">
        <v>74</v>
      </c>
      <c r="M79" t="s">
        <v>28</v>
      </c>
      <c r="N79" t="str" cm="1">
        <f t="array" ref="N79">_xlfn.SWITCH(TRIM(PROPER(M79)), "Active", "Active", "Actv", "Active", "Left", "Left", "Resigned", "Left", "Unknown")</f>
        <v>Left</v>
      </c>
      <c r="O79" t="str">
        <f>_xlfn.XLOOKUP(L79, Lookup_Performance!$A$2:$A$6, Lookup_Performance!$C$2:$C$6, "No Score", -1)</f>
        <v>Achieving</v>
      </c>
      <c r="P79" s="11">
        <f>_xlfn.XLOOKUP(L79, Lookup_Performance!$A$2:$A$6, Lookup_Performance!$D$2:$D$6, 0, -1)</f>
        <v>0.05</v>
      </c>
      <c r="Q79" s="2">
        <f>K79*P79</f>
        <v>3517.9500000000003</v>
      </c>
    </row>
    <row r="80" spans="1:17" x14ac:dyDescent="0.25">
      <c r="A80" t="s">
        <v>162</v>
      </c>
      <c r="B80" t="s">
        <v>89</v>
      </c>
      <c r="C80" t="s">
        <v>45</v>
      </c>
      <c r="D80" t="str">
        <f t="shared" si="4"/>
        <v>Sarah Miller</v>
      </c>
      <c r="E80" t="str">
        <f>_xlfn.XLOOKUP(F80, Lookup_Departments!$A$2:$A$7, Lookup_Departments!$B$2:$B$7, "Unknown")</f>
        <v>Marketing</v>
      </c>
      <c r="F80" t="str">
        <f t="shared" si="5"/>
        <v>MKT04</v>
      </c>
      <c r="G80" t="s">
        <v>58</v>
      </c>
      <c r="H80" s="3">
        <f t="shared" si="6"/>
        <v>43599</v>
      </c>
      <c r="I80" s="21">
        <f t="shared" ca="1" si="7"/>
        <v>7</v>
      </c>
      <c r="J80" s="3">
        <v>43599</v>
      </c>
      <c r="K80" s="2">
        <v>83604</v>
      </c>
      <c r="L80">
        <v>94</v>
      </c>
      <c r="M80" t="s">
        <v>16</v>
      </c>
      <c r="N80" t="str" cm="1">
        <f t="array" ref="N80">_xlfn.SWITCH(TRIM(PROPER(M80)), "Active", "Active", "Actv", "Active", "Left", "Left", "Resigned", "Left", "Unknown")</f>
        <v>Active</v>
      </c>
      <c r="O80" t="str">
        <f>_xlfn.XLOOKUP(L80, Lookup_Performance!$A$2:$A$6, Lookup_Performance!$C$2:$C$6, "No Score", -1)</f>
        <v>Exceeding</v>
      </c>
      <c r="P80" s="11">
        <f>_xlfn.XLOOKUP(L80, Lookup_Performance!$A$2:$A$6, Lookup_Performance!$D$2:$D$6, 0, -1)</f>
        <v>0.08</v>
      </c>
      <c r="Q80" s="2">
        <f>K80*P80</f>
        <v>6688.32</v>
      </c>
    </row>
    <row r="81" spans="1:17" x14ac:dyDescent="0.25">
      <c r="A81" t="s">
        <v>163</v>
      </c>
      <c r="B81" t="s">
        <v>37</v>
      </c>
      <c r="C81" t="s">
        <v>126</v>
      </c>
      <c r="D81" t="str">
        <f t="shared" si="4"/>
        <v>Jessica Garcia</v>
      </c>
      <c r="E81" t="str">
        <f>_xlfn.XLOOKUP(F81, Lookup_Departments!$A$2:$A$7, Lookup_Departments!$B$2:$B$7, "Unknown")</f>
        <v>Operations</v>
      </c>
      <c r="F81" t="str">
        <f t="shared" si="5"/>
        <v>OPS06</v>
      </c>
      <c r="G81" t="s">
        <v>35</v>
      </c>
      <c r="H81" s="3">
        <f t="shared" si="6"/>
        <v>42330</v>
      </c>
      <c r="I81" s="21">
        <f t="shared" ca="1" si="7"/>
        <v>10</v>
      </c>
      <c r="J81" s="3">
        <v>42330</v>
      </c>
      <c r="K81" s="2">
        <v>86480</v>
      </c>
      <c r="L81">
        <v>70</v>
      </c>
      <c r="M81" t="s">
        <v>16</v>
      </c>
      <c r="N81" t="str" cm="1">
        <f t="array" ref="N81">_xlfn.SWITCH(TRIM(PROPER(M81)), "Active", "Active", "Actv", "Active", "Left", "Left", "Resigned", "Left", "Unknown")</f>
        <v>Active</v>
      </c>
      <c r="O81" t="str">
        <f>_xlfn.XLOOKUP(L81, Lookup_Performance!$A$2:$A$6, Lookup_Performance!$C$2:$C$6, "No Score", -1)</f>
        <v>Achieving</v>
      </c>
      <c r="P81" s="11">
        <f>_xlfn.XLOOKUP(L81, Lookup_Performance!$A$2:$A$6, Lookup_Performance!$D$2:$D$6, 0, -1)</f>
        <v>0.05</v>
      </c>
      <c r="Q81" s="2">
        <f>K81*P81</f>
        <v>4324</v>
      </c>
    </row>
    <row r="82" spans="1:17" x14ac:dyDescent="0.25">
      <c r="A82" t="s">
        <v>164</v>
      </c>
      <c r="B82" t="s">
        <v>13</v>
      </c>
      <c r="C82" t="s">
        <v>27</v>
      </c>
      <c r="D82" t="str">
        <f t="shared" si="4"/>
        <v>Richard Smith</v>
      </c>
      <c r="E82" t="str">
        <f>_xlfn.XLOOKUP(F82, Lookup_Departments!$A$2:$A$7, Lookup_Departments!$B$2:$B$7, "Unknown")</f>
        <v>Human Resources</v>
      </c>
      <c r="F82" t="str">
        <f t="shared" si="5"/>
        <v>HR01</v>
      </c>
      <c r="G82" t="s">
        <v>131</v>
      </c>
      <c r="H82" s="3">
        <f t="shared" si="6"/>
        <v>43372</v>
      </c>
      <c r="I82" s="21">
        <f t="shared" ca="1" si="7"/>
        <v>7</v>
      </c>
      <c r="J82" s="3" t="s">
        <v>165</v>
      </c>
      <c r="K82" s="2">
        <v>47694</v>
      </c>
      <c r="L82">
        <v>75</v>
      </c>
      <c r="M82" t="s">
        <v>16</v>
      </c>
      <c r="N82" t="str" cm="1">
        <f t="array" ref="N82">_xlfn.SWITCH(TRIM(PROPER(M82)), "Active", "Active", "Actv", "Active", "Left", "Left", "Resigned", "Left", "Unknown")</f>
        <v>Active</v>
      </c>
      <c r="O82" t="str">
        <f>_xlfn.XLOOKUP(L82, Lookup_Performance!$A$2:$A$6, Lookup_Performance!$C$2:$C$6, "No Score", -1)</f>
        <v>Achieving</v>
      </c>
      <c r="P82" s="11">
        <f>_xlfn.XLOOKUP(L82, Lookup_Performance!$A$2:$A$6, Lookup_Performance!$D$2:$D$6, 0, -1)</f>
        <v>0.05</v>
      </c>
      <c r="Q82" s="2">
        <f>K82*P82</f>
        <v>2384.7000000000003</v>
      </c>
    </row>
    <row r="83" spans="1:17" x14ac:dyDescent="0.25">
      <c r="A83" t="s">
        <v>166</v>
      </c>
      <c r="B83" t="s">
        <v>100</v>
      </c>
      <c r="C83" t="s">
        <v>34</v>
      </c>
      <c r="D83" t="str">
        <f t="shared" si="4"/>
        <v>Melissa Wilson</v>
      </c>
      <c r="E83" t="str">
        <f>_xlfn.XLOOKUP(F83, Lookup_Departments!$A$2:$A$7, Lookup_Departments!$B$2:$B$7, "Unknown")</f>
        <v>Information Technology</v>
      </c>
      <c r="F83" t="str">
        <f t="shared" si="5"/>
        <v>IT02</v>
      </c>
      <c r="G83" t="s">
        <v>10</v>
      </c>
      <c r="H83" s="3">
        <f t="shared" si="6"/>
        <v>45171</v>
      </c>
      <c r="I83" s="21">
        <f t="shared" ca="1" si="7"/>
        <v>2</v>
      </c>
      <c r="J83" s="3">
        <v>45171</v>
      </c>
      <c r="K83" s="2">
        <v>83724</v>
      </c>
      <c r="L83">
        <v>81</v>
      </c>
      <c r="M83" t="s">
        <v>110</v>
      </c>
      <c r="N83" t="str" cm="1">
        <f t="array" ref="N83">_xlfn.SWITCH(TRIM(PROPER(M83)), "Active", "Active", "Actv", "Active", "Left", "Left", "Resigned", "Left", "Unknown")</f>
        <v>Left</v>
      </c>
      <c r="O83" t="str">
        <f>_xlfn.XLOOKUP(L83, Lookup_Performance!$A$2:$A$6, Lookup_Performance!$C$2:$C$6, "No Score", -1)</f>
        <v>Achieving</v>
      </c>
      <c r="P83" s="11">
        <f>_xlfn.XLOOKUP(L83, Lookup_Performance!$A$2:$A$6, Lookup_Performance!$D$2:$D$6, 0, -1)</f>
        <v>0.05</v>
      </c>
      <c r="Q83" s="2">
        <f>K83*P83</f>
        <v>4186.2</v>
      </c>
    </row>
    <row r="84" spans="1:17" x14ac:dyDescent="0.25">
      <c r="A84" t="s">
        <v>167</v>
      </c>
      <c r="B84" t="s">
        <v>26</v>
      </c>
      <c r="C84" t="s">
        <v>51</v>
      </c>
      <c r="D84" t="str">
        <f t="shared" si="4"/>
        <v>Thomas Williams</v>
      </c>
      <c r="E84" t="str">
        <f>_xlfn.XLOOKUP(F84, Lookup_Departments!$A$2:$A$7, Lookup_Departments!$B$2:$B$7, "Unknown")</f>
        <v>Finance</v>
      </c>
      <c r="F84" t="str">
        <f t="shared" si="5"/>
        <v>FIN03</v>
      </c>
      <c r="G84" t="s">
        <v>73</v>
      </c>
      <c r="H84" s="3">
        <f t="shared" si="6"/>
        <v>44759</v>
      </c>
      <c r="I84" s="21">
        <f t="shared" ca="1" si="7"/>
        <v>3</v>
      </c>
      <c r="J84" s="3">
        <v>44759</v>
      </c>
      <c r="K84" s="2">
        <v>98299</v>
      </c>
      <c r="L84">
        <v>61</v>
      </c>
      <c r="M84" t="s">
        <v>48</v>
      </c>
      <c r="N84" t="str" cm="1">
        <f t="array" ref="N84">_xlfn.SWITCH(TRIM(PROPER(M84)), "Active", "Active", "Actv", "Active", "Left", "Left", "Resigned", "Left", "Unknown")</f>
        <v>Active</v>
      </c>
      <c r="O84" t="str">
        <f>_xlfn.XLOOKUP(L84, Lookup_Performance!$A$2:$A$6, Lookup_Performance!$C$2:$C$6, "No Score", -1)</f>
        <v>Developing</v>
      </c>
      <c r="P84" s="11">
        <f>_xlfn.XLOOKUP(L84, Lookup_Performance!$A$2:$A$6, Lookup_Performance!$D$2:$D$6, 0, -1)</f>
        <v>0.02</v>
      </c>
      <c r="Q84" s="2">
        <f>K84*P84</f>
        <v>1965.98</v>
      </c>
    </row>
    <row r="85" spans="1:17" x14ac:dyDescent="0.25">
      <c r="A85" t="s">
        <v>168</v>
      </c>
      <c r="B85" t="s">
        <v>108</v>
      </c>
      <c r="C85" t="s">
        <v>51</v>
      </c>
      <c r="D85" t="str">
        <f t="shared" si="4"/>
        <v>David Williams</v>
      </c>
      <c r="E85" t="str">
        <f>_xlfn.XLOOKUP(F85, Lookup_Departments!$A$2:$A$7, Lookup_Departments!$B$2:$B$7, "Unknown")</f>
        <v>Finance</v>
      </c>
      <c r="F85" t="str">
        <f t="shared" si="5"/>
        <v>FIN03</v>
      </c>
      <c r="G85" t="s">
        <v>24</v>
      </c>
      <c r="H85" s="3">
        <f t="shared" si="6"/>
        <v>44234</v>
      </c>
      <c r="I85" s="21">
        <f t="shared" ca="1" si="7"/>
        <v>5</v>
      </c>
      <c r="J85" s="3" t="s">
        <v>169</v>
      </c>
      <c r="K85" s="2">
        <v>83604</v>
      </c>
      <c r="L85">
        <v>68</v>
      </c>
      <c r="M85" t="s">
        <v>48</v>
      </c>
      <c r="N85" t="str" cm="1">
        <f t="array" ref="N85">_xlfn.SWITCH(TRIM(PROPER(M85)), "Active", "Active", "Actv", "Active", "Left", "Left", "Resigned", "Left", "Unknown")</f>
        <v>Active</v>
      </c>
      <c r="O85" t="str">
        <f>_xlfn.XLOOKUP(L85, Lookup_Performance!$A$2:$A$6, Lookup_Performance!$C$2:$C$6, "No Score", -1)</f>
        <v>Developing</v>
      </c>
      <c r="P85" s="11">
        <f>_xlfn.XLOOKUP(L85, Lookup_Performance!$A$2:$A$6, Lookup_Performance!$D$2:$D$6, 0, -1)</f>
        <v>0.02</v>
      </c>
      <c r="Q85" s="2">
        <f>K85*P85</f>
        <v>1672.08</v>
      </c>
    </row>
    <row r="86" spans="1:17" x14ac:dyDescent="0.25">
      <c r="A86" t="s">
        <v>170</v>
      </c>
      <c r="B86" t="s">
        <v>22</v>
      </c>
      <c r="C86" t="s">
        <v>30</v>
      </c>
      <c r="D86" t="str">
        <f t="shared" si="4"/>
        <v>John Johnson</v>
      </c>
      <c r="E86" t="str">
        <f>_xlfn.XLOOKUP(F86, Lookup_Departments!$A$2:$A$7, Lookup_Departments!$B$2:$B$7, "Unknown")</f>
        <v>Information Technology</v>
      </c>
      <c r="F86" t="str">
        <f t="shared" si="5"/>
        <v>IT02</v>
      </c>
      <c r="G86" t="s">
        <v>80</v>
      </c>
      <c r="H86" s="3">
        <f t="shared" si="6"/>
        <v>45203</v>
      </c>
      <c r="I86" s="21">
        <f t="shared" ca="1" si="7"/>
        <v>2</v>
      </c>
      <c r="J86" s="3" t="s">
        <v>171</v>
      </c>
      <c r="K86" s="2">
        <v>52287</v>
      </c>
      <c r="L86">
        <v>70</v>
      </c>
      <c r="M86" t="s">
        <v>11</v>
      </c>
      <c r="N86" t="str" cm="1">
        <f t="array" ref="N86">_xlfn.SWITCH(TRIM(PROPER(M86)), "Active", "Active", "Actv", "Active", "Left", "Left", "Resigned", "Left", "Unknown")</f>
        <v>Active</v>
      </c>
      <c r="O86" t="str">
        <f>_xlfn.XLOOKUP(L86, Lookup_Performance!$A$2:$A$6, Lookup_Performance!$C$2:$C$6, "No Score", -1)</f>
        <v>Achieving</v>
      </c>
      <c r="P86" s="11">
        <f>_xlfn.XLOOKUP(L86, Lookup_Performance!$A$2:$A$6, Lookup_Performance!$D$2:$D$6, 0, -1)</f>
        <v>0.05</v>
      </c>
      <c r="Q86" s="2">
        <f>K86*P86</f>
        <v>2614.3500000000004</v>
      </c>
    </row>
    <row r="87" spans="1:17" x14ac:dyDescent="0.25">
      <c r="A87" t="s">
        <v>172</v>
      </c>
      <c r="B87" t="s">
        <v>13</v>
      </c>
      <c r="C87" t="s">
        <v>18</v>
      </c>
      <c r="D87" t="str">
        <f t="shared" si="4"/>
        <v>Richard Gonzalez</v>
      </c>
      <c r="E87" t="str">
        <f>_xlfn.XLOOKUP(F87, Lookup_Departments!$A$2:$A$7, Lookup_Departments!$B$2:$B$7, "Unknown")</f>
        <v>Information Technology</v>
      </c>
      <c r="F87" t="str">
        <f t="shared" si="5"/>
        <v>IT02</v>
      </c>
      <c r="G87" t="s">
        <v>10</v>
      </c>
      <c r="H87" s="3">
        <f t="shared" si="6"/>
        <v>44073</v>
      </c>
      <c r="I87" s="21">
        <f t="shared" ca="1" si="7"/>
        <v>5</v>
      </c>
      <c r="J87" s="3">
        <v>44073</v>
      </c>
      <c r="K87" s="2">
        <v>82633</v>
      </c>
      <c r="L87">
        <v>98</v>
      </c>
      <c r="M87" t="s">
        <v>16</v>
      </c>
      <c r="N87" t="str" cm="1">
        <f t="array" ref="N87">_xlfn.SWITCH(TRIM(PROPER(M87)), "Active", "Active", "Actv", "Active", "Left", "Left", "Resigned", "Left", "Unknown")</f>
        <v>Active</v>
      </c>
      <c r="O87" t="str">
        <f>_xlfn.XLOOKUP(L87, Lookup_Performance!$A$2:$A$6, Lookup_Performance!$C$2:$C$6, "No Score", -1)</f>
        <v>Outstanding</v>
      </c>
      <c r="P87" s="11">
        <f>_xlfn.XLOOKUP(L87, Lookup_Performance!$A$2:$A$6, Lookup_Performance!$D$2:$D$6, 0, -1)</f>
        <v>0.12</v>
      </c>
      <c r="Q87" s="2">
        <f>K87*P87</f>
        <v>9915.9599999999991</v>
      </c>
    </row>
    <row r="88" spans="1:17" x14ac:dyDescent="0.25">
      <c r="A88" t="s">
        <v>173</v>
      </c>
      <c r="B88" t="s">
        <v>100</v>
      </c>
      <c r="C88" t="s">
        <v>128</v>
      </c>
      <c r="D88" t="str">
        <f t="shared" si="4"/>
        <v>Melissa Anderson</v>
      </c>
      <c r="E88" t="str">
        <f>_xlfn.XLOOKUP(F88, Lookup_Departments!$A$2:$A$7, Lookup_Departments!$B$2:$B$7, "Unknown")</f>
        <v>Operations</v>
      </c>
      <c r="F88" t="str">
        <f t="shared" si="5"/>
        <v>OPS06</v>
      </c>
      <c r="G88" t="s">
        <v>35</v>
      </c>
      <c r="H88" s="3">
        <f t="shared" si="6"/>
        <v>44422</v>
      </c>
      <c r="I88" s="21">
        <f t="shared" ca="1" si="7"/>
        <v>4</v>
      </c>
      <c r="J88" s="3">
        <v>44422</v>
      </c>
      <c r="K88" s="2">
        <v>46508</v>
      </c>
      <c r="L88">
        <v>34</v>
      </c>
      <c r="M88" t="s">
        <v>43</v>
      </c>
      <c r="N88" t="str" cm="1">
        <f t="array" ref="N88">_xlfn.SWITCH(TRIM(PROPER(M88)), "Active", "Active", "Actv", "Active", "Left", "Left", "Resigned", "Left", "Unknown")</f>
        <v>Active</v>
      </c>
      <c r="O88" t="str">
        <f>_xlfn.XLOOKUP(L88, Lookup_Performance!$A$2:$A$6, Lookup_Performance!$C$2:$C$6, "No Score", -1)</f>
        <v>Needs Improvement</v>
      </c>
      <c r="P88" s="11">
        <f>_xlfn.XLOOKUP(L88, Lookup_Performance!$A$2:$A$6, Lookup_Performance!$D$2:$D$6, 0, -1)</f>
        <v>0</v>
      </c>
      <c r="Q88" s="2">
        <f>K88*P88</f>
        <v>0</v>
      </c>
    </row>
    <row r="89" spans="1:17" x14ac:dyDescent="0.25">
      <c r="A89" t="s">
        <v>174</v>
      </c>
      <c r="B89" t="s">
        <v>8</v>
      </c>
      <c r="C89" t="s">
        <v>18</v>
      </c>
      <c r="D89" t="str">
        <f t="shared" si="4"/>
        <v>Emily Gonzalez</v>
      </c>
      <c r="E89" t="str">
        <f>_xlfn.XLOOKUP(F89, Lookup_Departments!$A$2:$A$7, Lookup_Departments!$B$2:$B$7, "Unknown")</f>
        <v>Human Resources</v>
      </c>
      <c r="F89" t="str">
        <f t="shared" si="5"/>
        <v>HR01</v>
      </c>
      <c r="G89" t="s">
        <v>131</v>
      </c>
      <c r="H89" s="3">
        <f t="shared" si="6"/>
        <v>43796</v>
      </c>
      <c r="I89" s="21">
        <f t="shared" ca="1" si="7"/>
        <v>6</v>
      </c>
      <c r="J89" s="3" t="s">
        <v>175</v>
      </c>
      <c r="K89" s="2">
        <v>86232</v>
      </c>
      <c r="L89">
        <v>93</v>
      </c>
      <c r="M89" t="s">
        <v>43</v>
      </c>
      <c r="N89" t="str" cm="1">
        <f t="array" ref="N89">_xlfn.SWITCH(TRIM(PROPER(M89)), "Active", "Active", "Actv", "Active", "Left", "Left", "Resigned", "Left", "Unknown")</f>
        <v>Active</v>
      </c>
      <c r="O89" t="str">
        <f>_xlfn.XLOOKUP(L89, Lookup_Performance!$A$2:$A$6, Lookup_Performance!$C$2:$C$6, "No Score", -1)</f>
        <v>Exceeding</v>
      </c>
      <c r="P89" s="11">
        <f>_xlfn.XLOOKUP(L89, Lookup_Performance!$A$2:$A$6, Lookup_Performance!$D$2:$D$6, 0, -1)</f>
        <v>0.08</v>
      </c>
      <c r="Q89" s="2">
        <f>K89*P89</f>
        <v>6898.56</v>
      </c>
    </row>
    <row r="90" spans="1:17" x14ac:dyDescent="0.25">
      <c r="A90" t="s">
        <v>176</v>
      </c>
      <c r="B90" t="s">
        <v>50</v>
      </c>
      <c r="C90" t="s">
        <v>61</v>
      </c>
      <c r="D90" t="str">
        <f t="shared" si="4"/>
        <v>Jane Davis</v>
      </c>
      <c r="E90" t="str">
        <f>_xlfn.XLOOKUP(F90, Lookup_Departments!$A$2:$A$7, Lookup_Departments!$B$2:$B$7, "Unknown")</f>
        <v>Information Technology</v>
      </c>
      <c r="F90" t="str">
        <f t="shared" si="5"/>
        <v>IT02</v>
      </c>
      <c r="G90" t="s">
        <v>80</v>
      </c>
      <c r="H90" s="3">
        <f t="shared" si="6"/>
        <v>42880</v>
      </c>
      <c r="I90" s="21">
        <f t="shared" ca="1" si="7"/>
        <v>9</v>
      </c>
      <c r="J90" s="3" t="s">
        <v>177</v>
      </c>
      <c r="K90" s="2">
        <v>77545</v>
      </c>
      <c r="L90">
        <v>48</v>
      </c>
      <c r="M90" t="s">
        <v>43</v>
      </c>
      <c r="N90" t="str" cm="1">
        <f t="array" ref="N90">_xlfn.SWITCH(TRIM(PROPER(M90)), "Active", "Active", "Actv", "Active", "Left", "Left", "Resigned", "Left", "Unknown")</f>
        <v>Active</v>
      </c>
      <c r="O90" t="str">
        <f>_xlfn.XLOOKUP(L90, Lookup_Performance!$A$2:$A$6, Lookup_Performance!$C$2:$C$6, "No Score", -1)</f>
        <v>Needs Improvement</v>
      </c>
      <c r="P90" s="11">
        <f>_xlfn.XLOOKUP(L90, Lookup_Performance!$A$2:$A$6, Lookup_Performance!$D$2:$D$6, 0, -1)</f>
        <v>0</v>
      </c>
      <c r="Q90" s="2">
        <f>K90*P90</f>
        <v>0</v>
      </c>
    </row>
    <row r="91" spans="1:17" x14ac:dyDescent="0.25">
      <c r="A91" t="s">
        <v>178</v>
      </c>
      <c r="B91" t="s">
        <v>150</v>
      </c>
      <c r="C91" t="s">
        <v>18</v>
      </c>
      <c r="D91" t="str">
        <f t="shared" si="4"/>
        <v>William Gonzalez</v>
      </c>
      <c r="E91" t="str">
        <f>_xlfn.XLOOKUP(F91, Lookup_Departments!$A$2:$A$7, Lookup_Departments!$B$2:$B$7, "Unknown")</f>
        <v>Operations</v>
      </c>
      <c r="F91" t="str">
        <f t="shared" si="5"/>
        <v>OPS06</v>
      </c>
      <c r="G91" t="s">
        <v>35</v>
      </c>
      <c r="H91" s="3">
        <f t="shared" si="6"/>
        <v>43436</v>
      </c>
      <c r="I91" s="21">
        <f t="shared" ca="1" si="7"/>
        <v>7</v>
      </c>
      <c r="J91" s="3">
        <v>43436</v>
      </c>
      <c r="K91" s="2">
        <v>68683</v>
      </c>
      <c r="L91">
        <v>90</v>
      </c>
      <c r="M91" t="s">
        <v>48</v>
      </c>
      <c r="N91" t="str" cm="1">
        <f t="array" ref="N91">_xlfn.SWITCH(TRIM(PROPER(M91)), "Active", "Active", "Actv", "Active", "Left", "Left", "Resigned", "Left", "Unknown")</f>
        <v>Active</v>
      </c>
      <c r="O91" t="str">
        <f>_xlfn.XLOOKUP(L91, Lookup_Performance!$A$2:$A$6, Lookup_Performance!$C$2:$C$6, "No Score", -1)</f>
        <v>Exceeding</v>
      </c>
      <c r="P91" s="11">
        <f>_xlfn.XLOOKUP(L91, Lookup_Performance!$A$2:$A$6, Lookup_Performance!$D$2:$D$6, 0, -1)</f>
        <v>0.08</v>
      </c>
      <c r="Q91" s="2">
        <f>K91*P91</f>
        <v>5494.64</v>
      </c>
    </row>
    <row r="92" spans="1:17" x14ac:dyDescent="0.25">
      <c r="A92" t="s">
        <v>179</v>
      </c>
      <c r="B92" t="s">
        <v>26</v>
      </c>
      <c r="C92" t="s">
        <v>57</v>
      </c>
      <c r="D92" t="str">
        <f t="shared" si="4"/>
        <v>Thomas Jones</v>
      </c>
      <c r="E92" t="str">
        <f>_xlfn.XLOOKUP(F92, Lookup_Departments!$A$2:$A$7, Lookup_Departments!$B$2:$B$7, "Unknown")</f>
        <v>Finance</v>
      </c>
      <c r="F92" t="str">
        <f t="shared" si="5"/>
        <v>FIN03</v>
      </c>
      <c r="G92" t="s">
        <v>24</v>
      </c>
      <c r="H92" s="3">
        <f t="shared" si="6"/>
        <v>43639</v>
      </c>
      <c r="I92" s="21">
        <f t="shared" ca="1" si="7"/>
        <v>7</v>
      </c>
      <c r="J92" s="3">
        <v>43639</v>
      </c>
      <c r="K92" s="2">
        <v>83932</v>
      </c>
      <c r="L92">
        <v>57</v>
      </c>
      <c r="M92" t="s">
        <v>20</v>
      </c>
      <c r="N92" t="str" cm="1">
        <f t="array" ref="N92">_xlfn.SWITCH(TRIM(PROPER(M92)), "Active", "Active", "Actv", "Active", "Left", "Left", "Resigned", "Left", "Unknown")</f>
        <v>Left</v>
      </c>
      <c r="O92" t="str">
        <f>_xlfn.XLOOKUP(L92, Lookup_Performance!$A$2:$A$6, Lookup_Performance!$C$2:$C$6, "No Score", -1)</f>
        <v>Developing</v>
      </c>
      <c r="P92" s="11">
        <f>_xlfn.XLOOKUP(L92, Lookup_Performance!$A$2:$A$6, Lookup_Performance!$D$2:$D$6, 0, -1)</f>
        <v>0.02</v>
      </c>
      <c r="Q92" s="2">
        <f>K92*P92</f>
        <v>1678.64</v>
      </c>
    </row>
    <row r="93" spans="1:17" x14ac:dyDescent="0.25">
      <c r="A93" t="s">
        <v>180</v>
      </c>
      <c r="B93" t="s">
        <v>37</v>
      </c>
      <c r="C93" t="s">
        <v>128</v>
      </c>
      <c r="D93" t="str">
        <f t="shared" si="4"/>
        <v>Jessica Anderson</v>
      </c>
      <c r="E93" t="str">
        <f>_xlfn.XLOOKUP(F93, Lookup_Departments!$A$2:$A$7, Lookup_Departments!$B$2:$B$7, "Unknown")</f>
        <v>Human Resources</v>
      </c>
      <c r="F93" t="str">
        <f t="shared" si="5"/>
        <v>HR01</v>
      </c>
      <c r="G93" t="s">
        <v>92</v>
      </c>
      <c r="H93" s="3">
        <f t="shared" si="6"/>
        <v>42304</v>
      </c>
      <c r="I93" s="21">
        <f t="shared" ca="1" si="7"/>
        <v>10</v>
      </c>
      <c r="J93" s="3">
        <v>42304</v>
      </c>
      <c r="K93" s="2">
        <v>56073</v>
      </c>
      <c r="L93">
        <v>79</v>
      </c>
      <c r="M93" t="s">
        <v>43</v>
      </c>
      <c r="N93" t="str" cm="1">
        <f t="array" ref="N93">_xlfn.SWITCH(TRIM(PROPER(M93)), "Active", "Active", "Actv", "Active", "Left", "Left", "Resigned", "Left", "Unknown")</f>
        <v>Active</v>
      </c>
      <c r="O93" t="str">
        <f>_xlfn.XLOOKUP(L93, Lookup_Performance!$A$2:$A$6, Lookup_Performance!$C$2:$C$6, "No Score", -1)</f>
        <v>Achieving</v>
      </c>
      <c r="P93" s="11">
        <f>_xlfn.XLOOKUP(L93, Lookup_Performance!$A$2:$A$6, Lookup_Performance!$D$2:$D$6, 0, -1)</f>
        <v>0.05</v>
      </c>
      <c r="Q93" s="2">
        <f>K93*P93</f>
        <v>2803.65</v>
      </c>
    </row>
    <row r="94" spans="1:17" x14ac:dyDescent="0.25">
      <c r="A94" t="s">
        <v>181</v>
      </c>
      <c r="B94" t="s">
        <v>100</v>
      </c>
      <c r="C94" t="s">
        <v>30</v>
      </c>
      <c r="D94" t="str">
        <f t="shared" si="4"/>
        <v>Melissa Johnson</v>
      </c>
      <c r="E94" t="str">
        <f>_xlfn.XLOOKUP(F94, Lookup_Departments!$A$2:$A$7, Lookup_Departments!$B$2:$B$7, "Unknown")</f>
        <v>Information Technology</v>
      </c>
      <c r="F94" t="str">
        <f t="shared" si="5"/>
        <v>IT02</v>
      </c>
      <c r="G94" t="s">
        <v>19</v>
      </c>
      <c r="H94" s="3">
        <f t="shared" si="6"/>
        <v>43270</v>
      </c>
      <c r="I94" s="21">
        <f t="shared" ca="1" si="7"/>
        <v>8</v>
      </c>
      <c r="J94" s="3">
        <v>43270</v>
      </c>
      <c r="K94" s="2">
        <v>88056</v>
      </c>
      <c r="L94">
        <v>66</v>
      </c>
      <c r="M94" t="s">
        <v>48</v>
      </c>
      <c r="N94" t="str" cm="1">
        <f t="array" ref="N94">_xlfn.SWITCH(TRIM(PROPER(M94)), "Active", "Active", "Actv", "Active", "Left", "Left", "Resigned", "Left", "Unknown")</f>
        <v>Active</v>
      </c>
      <c r="O94" t="str">
        <f>_xlfn.XLOOKUP(L94, Lookup_Performance!$A$2:$A$6, Lookup_Performance!$C$2:$C$6, "No Score", -1)</f>
        <v>Developing</v>
      </c>
      <c r="P94" s="11">
        <f>_xlfn.XLOOKUP(L94, Lookup_Performance!$A$2:$A$6, Lookup_Performance!$D$2:$D$6, 0, -1)</f>
        <v>0.02</v>
      </c>
      <c r="Q94" s="2">
        <f>K94*P94</f>
        <v>1761.1200000000001</v>
      </c>
    </row>
    <row r="95" spans="1:17" x14ac:dyDescent="0.25">
      <c r="A95" t="s">
        <v>182</v>
      </c>
      <c r="B95" t="s">
        <v>26</v>
      </c>
      <c r="C95" t="s">
        <v>45</v>
      </c>
      <c r="D95" t="str">
        <f t="shared" si="4"/>
        <v>Thomas Miller</v>
      </c>
      <c r="E95" t="str">
        <f>_xlfn.XLOOKUP(F95, Lookup_Departments!$A$2:$A$7, Lookup_Departments!$B$2:$B$7, "Unknown")</f>
        <v>Operations</v>
      </c>
      <c r="F95" t="str">
        <f t="shared" si="5"/>
        <v>OPS06</v>
      </c>
      <c r="G95" t="s">
        <v>155</v>
      </c>
      <c r="H95" s="3">
        <f t="shared" si="6"/>
        <v>43112</v>
      </c>
      <c r="I95" s="21">
        <f t="shared" ca="1" si="7"/>
        <v>8</v>
      </c>
      <c r="J95" s="3">
        <v>43112</v>
      </c>
      <c r="K95" s="2">
        <v>67414</v>
      </c>
      <c r="L95">
        <v>84</v>
      </c>
      <c r="M95" t="s">
        <v>28</v>
      </c>
      <c r="N95" t="str" cm="1">
        <f t="array" ref="N95">_xlfn.SWITCH(TRIM(PROPER(M95)), "Active", "Active", "Actv", "Active", "Left", "Left", "Resigned", "Left", "Unknown")</f>
        <v>Left</v>
      </c>
      <c r="O95" t="str">
        <f>_xlfn.XLOOKUP(L95, Lookup_Performance!$A$2:$A$6, Lookup_Performance!$C$2:$C$6, "No Score", -1)</f>
        <v>Achieving</v>
      </c>
      <c r="P95" s="11">
        <f>_xlfn.XLOOKUP(L95, Lookup_Performance!$A$2:$A$6, Lookup_Performance!$D$2:$D$6, 0, -1)</f>
        <v>0.05</v>
      </c>
      <c r="Q95" s="2">
        <f>K95*P95</f>
        <v>3370.7000000000003</v>
      </c>
    </row>
    <row r="96" spans="1:17" x14ac:dyDescent="0.25">
      <c r="A96" t="s">
        <v>183</v>
      </c>
      <c r="B96" t="s">
        <v>150</v>
      </c>
      <c r="C96" t="s">
        <v>18</v>
      </c>
      <c r="D96" t="str">
        <f t="shared" si="4"/>
        <v>William Gonzalez</v>
      </c>
      <c r="E96" t="str">
        <f>_xlfn.XLOOKUP(F96, Lookup_Departments!$A$2:$A$7, Lookup_Departments!$B$2:$B$7, "Unknown")</f>
        <v>Sales</v>
      </c>
      <c r="F96" t="str">
        <f t="shared" si="5"/>
        <v>SAL05</v>
      </c>
      <c r="G96" t="s">
        <v>42</v>
      </c>
      <c r="H96" s="3">
        <f t="shared" si="6"/>
        <v>42008</v>
      </c>
      <c r="I96" s="21">
        <f t="shared" ca="1" si="7"/>
        <v>11</v>
      </c>
      <c r="J96" s="3">
        <v>42008</v>
      </c>
      <c r="K96" s="2">
        <v>115288</v>
      </c>
      <c r="L96">
        <v>61</v>
      </c>
      <c r="M96" t="s">
        <v>48</v>
      </c>
      <c r="N96" t="str" cm="1">
        <f t="array" ref="N96">_xlfn.SWITCH(TRIM(PROPER(M96)), "Active", "Active", "Actv", "Active", "Left", "Left", "Resigned", "Left", "Unknown")</f>
        <v>Active</v>
      </c>
      <c r="O96" t="str">
        <f>_xlfn.XLOOKUP(L96, Lookup_Performance!$A$2:$A$6, Lookup_Performance!$C$2:$C$6, "No Score", -1)</f>
        <v>Developing</v>
      </c>
      <c r="P96" s="11">
        <f>_xlfn.XLOOKUP(L96, Lookup_Performance!$A$2:$A$6, Lookup_Performance!$D$2:$D$6, 0, -1)</f>
        <v>0.02</v>
      </c>
      <c r="Q96" s="2">
        <f>K96*P96</f>
        <v>2305.7600000000002</v>
      </c>
    </row>
    <row r="97" spans="1:17" x14ac:dyDescent="0.25">
      <c r="A97" t="s">
        <v>184</v>
      </c>
      <c r="C97" t="s">
        <v>27</v>
      </c>
      <c r="D97" t="str">
        <f t="shared" si="4"/>
        <v>- Smith</v>
      </c>
      <c r="E97" t="str">
        <f>_xlfn.XLOOKUP(F97, Lookup_Departments!$A$2:$A$7, Lookup_Departments!$B$2:$B$7, "Unknown")</f>
        <v>Sales</v>
      </c>
      <c r="F97" t="str">
        <f t="shared" si="5"/>
        <v>SAL05</v>
      </c>
      <c r="G97" t="s">
        <v>42</v>
      </c>
      <c r="H97" s="3">
        <f t="shared" si="6"/>
        <v>43439</v>
      </c>
      <c r="I97" s="21">
        <f t="shared" ca="1" si="7"/>
        <v>7</v>
      </c>
      <c r="J97" s="3">
        <v>43439</v>
      </c>
      <c r="K97" s="2">
        <v>80140</v>
      </c>
      <c r="L97">
        <v>58</v>
      </c>
      <c r="M97" t="s">
        <v>43</v>
      </c>
      <c r="N97" t="str" cm="1">
        <f t="array" ref="N97">_xlfn.SWITCH(TRIM(PROPER(M97)), "Active", "Active", "Actv", "Active", "Left", "Left", "Resigned", "Left", "Unknown")</f>
        <v>Active</v>
      </c>
      <c r="O97" t="str">
        <f>_xlfn.XLOOKUP(L97, Lookup_Performance!$A$2:$A$6, Lookup_Performance!$C$2:$C$6, "No Score", -1)</f>
        <v>Developing</v>
      </c>
      <c r="P97" s="11">
        <f>_xlfn.XLOOKUP(L97, Lookup_Performance!$A$2:$A$6, Lookup_Performance!$D$2:$D$6, 0, -1)</f>
        <v>0.02</v>
      </c>
      <c r="Q97" s="2">
        <f>K97*P97</f>
        <v>1602.8</v>
      </c>
    </row>
    <row r="98" spans="1:17" x14ac:dyDescent="0.25">
      <c r="A98" t="s">
        <v>185</v>
      </c>
      <c r="B98" t="s">
        <v>22</v>
      </c>
      <c r="C98" t="s">
        <v>30</v>
      </c>
      <c r="D98" t="str">
        <f t="shared" si="4"/>
        <v>John Johnson</v>
      </c>
      <c r="E98" t="str">
        <f>_xlfn.XLOOKUP(F98, Lookup_Departments!$A$2:$A$7, Lookup_Departments!$B$2:$B$7, "Unknown")</f>
        <v>Information Technology</v>
      </c>
      <c r="F98" t="str">
        <f t="shared" si="5"/>
        <v>IT02</v>
      </c>
      <c r="G98" t="s">
        <v>10</v>
      </c>
      <c r="H98" s="3">
        <f t="shared" si="6"/>
        <v>44482</v>
      </c>
      <c r="I98" s="21">
        <f t="shared" ca="1" si="7"/>
        <v>4</v>
      </c>
      <c r="J98" s="3">
        <v>44482</v>
      </c>
      <c r="K98" s="2">
        <v>73087</v>
      </c>
      <c r="L98">
        <v>69</v>
      </c>
      <c r="M98" t="s">
        <v>48</v>
      </c>
      <c r="N98" t="str" cm="1">
        <f t="array" ref="N98">_xlfn.SWITCH(TRIM(PROPER(M98)), "Active", "Active", "Actv", "Active", "Left", "Left", "Resigned", "Left", "Unknown")</f>
        <v>Active</v>
      </c>
      <c r="O98" t="str">
        <f>_xlfn.XLOOKUP(L98, Lookup_Performance!$A$2:$A$6, Lookup_Performance!$C$2:$C$6, "No Score", -1)</f>
        <v>Developing</v>
      </c>
      <c r="P98" s="11">
        <f>_xlfn.XLOOKUP(L98, Lookup_Performance!$A$2:$A$6, Lookup_Performance!$D$2:$D$6, 0, -1)</f>
        <v>0.02</v>
      </c>
      <c r="Q98" s="2">
        <f>K98*P98</f>
        <v>1461.74</v>
      </c>
    </row>
    <row r="99" spans="1:17" x14ac:dyDescent="0.25">
      <c r="A99" t="s">
        <v>186</v>
      </c>
      <c r="B99" t="s">
        <v>50</v>
      </c>
      <c r="C99" t="s">
        <v>30</v>
      </c>
      <c r="D99" t="str">
        <f t="shared" si="4"/>
        <v>Jane Johnson</v>
      </c>
      <c r="E99" t="str">
        <f>_xlfn.XLOOKUP(F99, Lookup_Departments!$A$2:$A$7, Lookup_Departments!$B$2:$B$7, "Unknown")</f>
        <v>Sales</v>
      </c>
      <c r="F99" t="str">
        <f t="shared" si="5"/>
        <v>SAL05</v>
      </c>
      <c r="G99" t="s">
        <v>76</v>
      </c>
      <c r="H99" s="3">
        <f t="shared" si="6"/>
        <v>44081</v>
      </c>
      <c r="I99" s="21">
        <f t="shared" ca="1" si="7"/>
        <v>5</v>
      </c>
      <c r="J99" s="3">
        <v>44081</v>
      </c>
      <c r="K99" s="2">
        <v>95292</v>
      </c>
      <c r="L99">
        <v>34</v>
      </c>
      <c r="M99" t="s">
        <v>11</v>
      </c>
      <c r="N99" t="str" cm="1">
        <f t="array" ref="N99">_xlfn.SWITCH(TRIM(PROPER(M99)), "Active", "Active", "Actv", "Active", "Left", "Left", "Resigned", "Left", "Unknown")</f>
        <v>Active</v>
      </c>
      <c r="O99" t="str">
        <f>_xlfn.XLOOKUP(L99, Lookup_Performance!$A$2:$A$6, Lookup_Performance!$C$2:$C$6, "No Score", -1)</f>
        <v>Needs Improvement</v>
      </c>
      <c r="P99" s="11">
        <f>_xlfn.XLOOKUP(L99, Lookup_Performance!$A$2:$A$6, Lookup_Performance!$D$2:$D$6, 0, -1)</f>
        <v>0</v>
      </c>
      <c r="Q99" s="2">
        <f>K99*P99</f>
        <v>0</v>
      </c>
    </row>
    <row r="100" spans="1:17" x14ac:dyDescent="0.25">
      <c r="A100" t="s">
        <v>187</v>
      </c>
      <c r="B100" t="s">
        <v>22</v>
      </c>
      <c r="C100" t="s">
        <v>57</v>
      </c>
      <c r="D100" t="str">
        <f t="shared" si="4"/>
        <v>John Jones</v>
      </c>
      <c r="E100" t="str">
        <f>_xlfn.XLOOKUP(F100, Lookup_Departments!$A$2:$A$7, Lookup_Departments!$B$2:$B$7, "Unknown")</f>
        <v>Information Technology</v>
      </c>
      <c r="F100" t="str">
        <f t="shared" si="5"/>
        <v>IT02</v>
      </c>
      <c r="G100" t="s">
        <v>19</v>
      </c>
      <c r="H100" s="3">
        <f t="shared" si="6"/>
        <v>43532</v>
      </c>
      <c r="I100" s="21">
        <f t="shared" ca="1" si="7"/>
        <v>7</v>
      </c>
      <c r="J100" s="3" t="s">
        <v>188</v>
      </c>
      <c r="K100" s="2">
        <v>83604</v>
      </c>
      <c r="L100">
        <v>33</v>
      </c>
      <c r="M100" t="s">
        <v>11</v>
      </c>
      <c r="N100" t="str" cm="1">
        <f t="array" ref="N100">_xlfn.SWITCH(TRIM(PROPER(M100)), "Active", "Active", "Actv", "Active", "Left", "Left", "Resigned", "Left", "Unknown")</f>
        <v>Active</v>
      </c>
      <c r="O100" t="str">
        <f>_xlfn.XLOOKUP(L100, Lookup_Performance!$A$2:$A$6, Lookup_Performance!$C$2:$C$6, "No Score", -1)</f>
        <v>Needs Improvement</v>
      </c>
      <c r="P100" s="11">
        <f>_xlfn.XLOOKUP(L100, Lookup_Performance!$A$2:$A$6, Lookup_Performance!$D$2:$D$6, 0, -1)</f>
        <v>0</v>
      </c>
      <c r="Q100" s="2">
        <f>K100*P100</f>
        <v>0</v>
      </c>
    </row>
    <row r="101" spans="1:17" x14ac:dyDescent="0.25">
      <c r="A101" t="s">
        <v>189</v>
      </c>
      <c r="B101" t="s">
        <v>50</v>
      </c>
      <c r="C101" t="s">
        <v>66</v>
      </c>
      <c r="D101" t="str">
        <f t="shared" si="4"/>
        <v>Jane Lopez</v>
      </c>
      <c r="E101" t="str">
        <f>_xlfn.XLOOKUP(F101, Lookup_Departments!$A$2:$A$7, Lookup_Departments!$B$2:$B$7, "Unknown")</f>
        <v>Marketing</v>
      </c>
      <c r="F101" t="str">
        <f t="shared" si="5"/>
        <v>MKT04</v>
      </c>
      <c r="G101" t="s">
        <v>15</v>
      </c>
      <c r="H101" s="3">
        <f t="shared" si="6"/>
        <v>42074</v>
      </c>
      <c r="I101" s="21">
        <f t="shared" ca="1" si="7"/>
        <v>11</v>
      </c>
      <c r="J101" s="3" t="s">
        <v>190</v>
      </c>
      <c r="K101" s="2">
        <v>101750</v>
      </c>
      <c r="L101">
        <v>84</v>
      </c>
      <c r="M101" t="s">
        <v>103</v>
      </c>
      <c r="N101" t="str" cm="1">
        <f t="array" ref="N101">_xlfn.SWITCH(TRIM(PROPER(M101)), "Active", "Active", "Actv", "Active", "Left", "Left", "Resigned", "Left", "Unknown")</f>
        <v>Left</v>
      </c>
      <c r="O101" t="str">
        <f>_xlfn.XLOOKUP(L101, Lookup_Performance!$A$2:$A$6, Lookup_Performance!$C$2:$C$6, "No Score", -1)</f>
        <v>Achieving</v>
      </c>
      <c r="P101" s="11">
        <f>_xlfn.XLOOKUP(L101, Lookup_Performance!$A$2:$A$6, Lookup_Performance!$D$2:$D$6, 0, -1)</f>
        <v>0.05</v>
      </c>
      <c r="Q101" s="2">
        <f>K101*P101</f>
        <v>5087.5</v>
      </c>
    </row>
    <row r="102" spans="1:17" x14ac:dyDescent="0.25">
      <c r="A102" t="s">
        <v>191</v>
      </c>
      <c r="B102" t="s">
        <v>100</v>
      </c>
      <c r="C102" t="s">
        <v>18</v>
      </c>
      <c r="D102" t="str">
        <f t="shared" si="4"/>
        <v>Melissa Gonzalez</v>
      </c>
      <c r="E102" t="str">
        <f>_xlfn.XLOOKUP(F102, Lookup_Departments!$A$2:$A$7, Lookup_Departments!$B$2:$B$7, "Unknown")</f>
        <v>Marketing</v>
      </c>
      <c r="F102" t="str">
        <f t="shared" si="5"/>
        <v>MKT04</v>
      </c>
      <c r="G102" t="s">
        <v>52</v>
      </c>
      <c r="H102" s="3">
        <f t="shared" si="6"/>
        <v>42785</v>
      </c>
      <c r="I102" s="21">
        <f t="shared" ca="1" si="7"/>
        <v>9</v>
      </c>
      <c r="J102" s="3" t="s">
        <v>192</v>
      </c>
      <c r="K102" s="2">
        <v>82992</v>
      </c>
      <c r="L102">
        <v>79</v>
      </c>
      <c r="M102" t="s">
        <v>48</v>
      </c>
      <c r="N102" t="str" cm="1">
        <f t="array" ref="N102">_xlfn.SWITCH(TRIM(PROPER(M102)), "Active", "Active", "Actv", "Active", "Left", "Left", "Resigned", "Left", "Unknown")</f>
        <v>Active</v>
      </c>
      <c r="O102" t="str">
        <f>_xlfn.XLOOKUP(L102, Lookup_Performance!$A$2:$A$6, Lookup_Performance!$C$2:$C$6, "No Score", -1)</f>
        <v>Achieving</v>
      </c>
      <c r="P102" s="11">
        <f>_xlfn.XLOOKUP(L102, Lookup_Performance!$A$2:$A$6, Lookup_Performance!$D$2:$D$6, 0, -1)</f>
        <v>0.05</v>
      </c>
      <c r="Q102" s="2">
        <f>K102*P102</f>
        <v>4149.6000000000004</v>
      </c>
    </row>
    <row r="103" spans="1:17" x14ac:dyDescent="0.25">
      <c r="A103" t="s">
        <v>193</v>
      </c>
      <c r="B103" t="s">
        <v>150</v>
      </c>
      <c r="C103" t="s">
        <v>61</v>
      </c>
      <c r="D103" t="str">
        <f t="shared" si="4"/>
        <v>William Davis</v>
      </c>
      <c r="E103" t="str">
        <f>_xlfn.XLOOKUP(F103, Lookup_Departments!$A$2:$A$7, Lookup_Departments!$B$2:$B$7, "Unknown")</f>
        <v>Information Technology</v>
      </c>
      <c r="F103" t="str">
        <f t="shared" si="5"/>
        <v>IT02</v>
      </c>
      <c r="G103" t="s">
        <v>10</v>
      </c>
      <c r="H103" s="3">
        <f t="shared" si="6"/>
        <v>45055</v>
      </c>
      <c r="I103" s="21">
        <f t="shared" ca="1" si="7"/>
        <v>3</v>
      </c>
      <c r="J103" s="3">
        <v>45055</v>
      </c>
      <c r="K103" s="2">
        <v>49942</v>
      </c>
      <c r="L103">
        <v>51</v>
      </c>
      <c r="M103" t="s">
        <v>11</v>
      </c>
      <c r="N103" t="str" cm="1">
        <f t="array" ref="N103">_xlfn.SWITCH(TRIM(PROPER(M103)), "Active", "Active", "Actv", "Active", "Left", "Left", "Resigned", "Left", "Unknown")</f>
        <v>Active</v>
      </c>
      <c r="O103" t="str">
        <f>_xlfn.XLOOKUP(L103, Lookup_Performance!$A$2:$A$6, Lookup_Performance!$C$2:$C$6, "No Score", -1)</f>
        <v>Developing</v>
      </c>
      <c r="P103" s="11">
        <f>_xlfn.XLOOKUP(L103, Lookup_Performance!$A$2:$A$6, Lookup_Performance!$D$2:$D$6, 0, -1)</f>
        <v>0.02</v>
      </c>
      <c r="Q103" s="2">
        <f>K103*P103</f>
        <v>998.84</v>
      </c>
    </row>
    <row r="104" spans="1:17" x14ac:dyDescent="0.25">
      <c r="A104" t="s">
        <v>194</v>
      </c>
      <c r="B104" t="s">
        <v>22</v>
      </c>
      <c r="C104" t="s">
        <v>27</v>
      </c>
      <c r="D104" t="str">
        <f t="shared" si="4"/>
        <v>John Smith</v>
      </c>
      <c r="E104" t="str">
        <f>_xlfn.XLOOKUP(F104, Lookup_Departments!$A$2:$A$7, Lookup_Departments!$B$2:$B$7, "Unknown")</f>
        <v>Operations</v>
      </c>
      <c r="F104" t="str">
        <f t="shared" si="5"/>
        <v>OPS06</v>
      </c>
      <c r="G104" t="s">
        <v>35</v>
      </c>
      <c r="H104" s="3">
        <f t="shared" si="6"/>
        <v>43122</v>
      </c>
      <c r="I104" s="21">
        <f t="shared" ca="1" si="7"/>
        <v>8</v>
      </c>
      <c r="J104" s="3">
        <v>43122</v>
      </c>
      <c r="K104" s="2">
        <v>89060</v>
      </c>
      <c r="L104">
        <v>58</v>
      </c>
      <c r="M104" t="s">
        <v>11</v>
      </c>
      <c r="N104" t="str" cm="1">
        <f t="array" ref="N104">_xlfn.SWITCH(TRIM(PROPER(M104)), "Active", "Active", "Actv", "Active", "Left", "Left", "Resigned", "Left", "Unknown")</f>
        <v>Active</v>
      </c>
      <c r="O104" t="str">
        <f>_xlfn.XLOOKUP(L104, Lookup_Performance!$A$2:$A$6, Lookup_Performance!$C$2:$C$6, "No Score", -1)</f>
        <v>Developing</v>
      </c>
      <c r="P104" s="11">
        <f>_xlfn.XLOOKUP(L104, Lookup_Performance!$A$2:$A$6, Lookup_Performance!$D$2:$D$6, 0, -1)</f>
        <v>0.02</v>
      </c>
      <c r="Q104" s="2">
        <f>K104*P104</f>
        <v>1781.2</v>
      </c>
    </row>
    <row r="105" spans="1:17" x14ac:dyDescent="0.25">
      <c r="A105" t="s">
        <v>195</v>
      </c>
      <c r="B105" t="s">
        <v>63</v>
      </c>
      <c r="C105" t="s">
        <v>18</v>
      </c>
      <c r="D105" t="str">
        <f t="shared" si="4"/>
        <v>James Gonzalez</v>
      </c>
      <c r="E105" t="str">
        <f>_xlfn.XLOOKUP(F105, Lookup_Departments!$A$2:$A$7, Lookup_Departments!$B$2:$B$7, "Unknown")</f>
        <v>Information Technology</v>
      </c>
      <c r="F105" t="str">
        <f t="shared" si="5"/>
        <v>IT02</v>
      </c>
      <c r="G105" t="s">
        <v>10</v>
      </c>
      <c r="H105" s="3">
        <f t="shared" si="6"/>
        <v>43879</v>
      </c>
      <c r="I105" s="21">
        <f t="shared" ca="1" si="7"/>
        <v>6</v>
      </c>
      <c r="J105" s="3">
        <v>43879</v>
      </c>
      <c r="K105" s="2">
        <v>53786</v>
      </c>
      <c r="L105">
        <v>98</v>
      </c>
      <c r="M105" t="s">
        <v>43</v>
      </c>
      <c r="N105" t="str" cm="1">
        <f t="array" ref="N105">_xlfn.SWITCH(TRIM(PROPER(M105)), "Active", "Active", "Actv", "Active", "Left", "Left", "Resigned", "Left", "Unknown")</f>
        <v>Active</v>
      </c>
      <c r="O105" t="str">
        <f>_xlfn.XLOOKUP(L105, Lookup_Performance!$A$2:$A$6, Lookup_Performance!$C$2:$C$6, "No Score", -1)</f>
        <v>Outstanding</v>
      </c>
      <c r="P105" s="11">
        <f>_xlfn.XLOOKUP(L105, Lookup_Performance!$A$2:$A$6, Lookup_Performance!$D$2:$D$6, 0, -1)</f>
        <v>0.12</v>
      </c>
      <c r="Q105" s="2">
        <f>K105*P105</f>
        <v>6454.32</v>
      </c>
    </row>
    <row r="106" spans="1:17" x14ac:dyDescent="0.25">
      <c r="A106" t="s">
        <v>196</v>
      </c>
      <c r="B106" t="s">
        <v>8</v>
      </c>
      <c r="C106" t="s">
        <v>30</v>
      </c>
      <c r="D106" t="str">
        <f t="shared" si="4"/>
        <v>Emily Johnson</v>
      </c>
      <c r="E106" t="str">
        <f>_xlfn.XLOOKUP(F106, Lookup_Departments!$A$2:$A$7, Lookup_Departments!$B$2:$B$7, "Unknown")</f>
        <v>Operations</v>
      </c>
      <c r="F106" t="str">
        <f t="shared" si="5"/>
        <v>OPS06</v>
      </c>
      <c r="G106" t="s">
        <v>31</v>
      </c>
      <c r="H106" s="3">
        <f t="shared" si="6"/>
        <v>42512</v>
      </c>
      <c r="I106" s="21">
        <f t="shared" ca="1" si="7"/>
        <v>10</v>
      </c>
      <c r="J106" s="3" t="s">
        <v>197</v>
      </c>
      <c r="K106" s="2">
        <v>81167</v>
      </c>
      <c r="L106">
        <v>70</v>
      </c>
      <c r="M106" t="s">
        <v>43</v>
      </c>
      <c r="N106" t="str" cm="1">
        <f t="array" ref="N106">_xlfn.SWITCH(TRIM(PROPER(M106)), "Active", "Active", "Actv", "Active", "Left", "Left", "Resigned", "Left", "Unknown")</f>
        <v>Active</v>
      </c>
      <c r="O106" t="str">
        <f>_xlfn.XLOOKUP(L106, Lookup_Performance!$A$2:$A$6, Lookup_Performance!$C$2:$C$6, "No Score", -1)</f>
        <v>Achieving</v>
      </c>
      <c r="P106" s="11">
        <f>_xlfn.XLOOKUP(L106, Lookup_Performance!$A$2:$A$6, Lookup_Performance!$D$2:$D$6, 0, -1)</f>
        <v>0.05</v>
      </c>
      <c r="Q106" s="2">
        <f>K106*P106</f>
        <v>4058.3500000000004</v>
      </c>
    </row>
    <row r="107" spans="1:17" x14ac:dyDescent="0.25">
      <c r="A107" t="s">
        <v>198</v>
      </c>
      <c r="B107" t="s">
        <v>150</v>
      </c>
      <c r="C107" t="s">
        <v>51</v>
      </c>
      <c r="D107" t="str">
        <f t="shared" si="4"/>
        <v>William Williams</v>
      </c>
      <c r="E107" t="str">
        <f>_xlfn.XLOOKUP(F107, Lookup_Departments!$A$2:$A$7, Lookup_Departments!$B$2:$B$7, "Unknown")</f>
        <v>Marketing</v>
      </c>
      <c r="F107" t="str">
        <f t="shared" si="5"/>
        <v>MKT04</v>
      </c>
      <c r="G107" t="s">
        <v>15</v>
      </c>
      <c r="H107" s="3">
        <f t="shared" si="6"/>
        <v>44349</v>
      </c>
      <c r="I107" s="21">
        <f t="shared" ca="1" si="7"/>
        <v>5</v>
      </c>
      <c r="J107" s="3">
        <v>44349</v>
      </c>
      <c r="K107" s="2">
        <v>66688</v>
      </c>
      <c r="L107">
        <v>40</v>
      </c>
      <c r="M107" t="s">
        <v>103</v>
      </c>
      <c r="N107" t="str" cm="1">
        <f t="array" ref="N107">_xlfn.SWITCH(TRIM(PROPER(M107)), "Active", "Active", "Actv", "Active", "Left", "Left", "Resigned", "Left", "Unknown")</f>
        <v>Left</v>
      </c>
      <c r="O107" t="str">
        <f>_xlfn.XLOOKUP(L107, Lookup_Performance!$A$2:$A$6, Lookup_Performance!$C$2:$C$6, "No Score", -1)</f>
        <v>Needs Improvement</v>
      </c>
      <c r="P107" s="11">
        <f>_xlfn.XLOOKUP(L107, Lookup_Performance!$A$2:$A$6, Lookup_Performance!$D$2:$D$6, 0, -1)</f>
        <v>0</v>
      </c>
      <c r="Q107" s="2">
        <f>K107*P107</f>
        <v>0</v>
      </c>
    </row>
    <row r="108" spans="1:17" x14ac:dyDescent="0.25">
      <c r="A108" t="s">
        <v>199</v>
      </c>
      <c r="B108" t="s">
        <v>63</v>
      </c>
      <c r="C108" t="s">
        <v>57</v>
      </c>
      <c r="D108" t="str">
        <f t="shared" si="4"/>
        <v>James Jones</v>
      </c>
      <c r="E108" t="str">
        <f>_xlfn.XLOOKUP(F108, Lookup_Departments!$A$2:$A$7, Lookup_Departments!$B$2:$B$7, "Unknown")</f>
        <v>Information Technology</v>
      </c>
      <c r="F108" t="str">
        <f t="shared" si="5"/>
        <v>IT02</v>
      </c>
      <c r="G108" t="s">
        <v>10</v>
      </c>
      <c r="H108" s="3">
        <f t="shared" si="6"/>
        <v>44394</v>
      </c>
      <c r="I108" s="21">
        <f t="shared" ca="1" si="7"/>
        <v>4</v>
      </c>
      <c r="J108" s="3">
        <v>44394</v>
      </c>
      <c r="K108" s="2">
        <v>91672</v>
      </c>
      <c r="L108">
        <v>88</v>
      </c>
      <c r="M108" t="s">
        <v>16</v>
      </c>
      <c r="N108" t="str" cm="1">
        <f t="array" ref="N108">_xlfn.SWITCH(TRIM(PROPER(M108)), "Active", "Active", "Actv", "Active", "Left", "Left", "Resigned", "Left", "Unknown")</f>
        <v>Active</v>
      </c>
      <c r="O108" t="str">
        <f>_xlfn.XLOOKUP(L108, Lookup_Performance!$A$2:$A$6, Lookup_Performance!$C$2:$C$6, "No Score", -1)</f>
        <v>Exceeding</v>
      </c>
      <c r="P108" s="11">
        <f>_xlfn.XLOOKUP(L108, Lookup_Performance!$A$2:$A$6, Lookup_Performance!$D$2:$D$6, 0, -1)</f>
        <v>0.08</v>
      </c>
      <c r="Q108" s="2">
        <f>K108*P108</f>
        <v>7333.76</v>
      </c>
    </row>
    <row r="109" spans="1:17" x14ac:dyDescent="0.25">
      <c r="A109" t="s">
        <v>200</v>
      </c>
      <c r="B109" t="s">
        <v>37</v>
      </c>
      <c r="C109" t="s">
        <v>18</v>
      </c>
      <c r="D109" t="str">
        <f t="shared" si="4"/>
        <v>Jessica Gonzalez</v>
      </c>
      <c r="E109" t="str">
        <f>_xlfn.XLOOKUP(F109, Lookup_Departments!$A$2:$A$7, Lookup_Departments!$B$2:$B$7, "Unknown")</f>
        <v>Human Resources</v>
      </c>
      <c r="F109" t="str">
        <f t="shared" si="5"/>
        <v>HR01</v>
      </c>
      <c r="G109" t="s">
        <v>147</v>
      </c>
      <c r="H109" s="3">
        <f t="shared" si="6"/>
        <v>42687</v>
      </c>
      <c r="I109" s="21">
        <f t="shared" ca="1" si="7"/>
        <v>9</v>
      </c>
      <c r="J109" s="3" t="s">
        <v>201</v>
      </c>
      <c r="K109" s="2">
        <v>77737</v>
      </c>
      <c r="L109">
        <v>77</v>
      </c>
      <c r="M109" t="s">
        <v>11</v>
      </c>
      <c r="N109" t="str" cm="1">
        <f t="array" ref="N109">_xlfn.SWITCH(TRIM(PROPER(M109)), "Active", "Active", "Actv", "Active", "Left", "Left", "Resigned", "Left", "Unknown")</f>
        <v>Active</v>
      </c>
      <c r="O109" t="str">
        <f>_xlfn.XLOOKUP(L109, Lookup_Performance!$A$2:$A$6, Lookup_Performance!$C$2:$C$6, "No Score", -1)</f>
        <v>Achieving</v>
      </c>
      <c r="P109" s="11">
        <f>_xlfn.XLOOKUP(L109, Lookup_Performance!$A$2:$A$6, Lookup_Performance!$D$2:$D$6, 0, -1)</f>
        <v>0.05</v>
      </c>
      <c r="Q109" s="2">
        <f>K109*P109</f>
        <v>3886.8500000000004</v>
      </c>
    </row>
    <row r="110" spans="1:17" x14ac:dyDescent="0.25">
      <c r="A110" t="s">
        <v>202</v>
      </c>
      <c r="B110" t="s">
        <v>89</v>
      </c>
      <c r="C110" t="s">
        <v>45</v>
      </c>
      <c r="D110" t="str">
        <f t="shared" si="4"/>
        <v>Sarah Miller</v>
      </c>
      <c r="E110" t="str">
        <f>_xlfn.XLOOKUP(F110, Lookup_Departments!$A$2:$A$7, Lookup_Departments!$B$2:$B$7, "Unknown")</f>
        <v>Sales</v>
      </c>
      <c r="F110" t="str">
        <f t="shared" si="5"/>
        <v>SAL05</v>
      </c>
      <c r="G110" t="s">
        <v>76</v>
      </c>
      <c r="H110" s="3">
        <f t="shared" si="6"/>
        <v>43513</v>
      </c>
      <c r="I110" s="21">
        <f t="shared" ca="1" si="7"/>
        <v>7</v>
      </c>
      <c r="J110" s="3">
        <v>43513</v>
      </c>
      <c r="K110" s="2">
        <v>95686</v>
      </c>
      <c r="L110">
        <v>91</v>
      </c>
      <c r="M110" t="s">
        <v>11</v>
      </c>
      <c r="N110" t="str" cm="1">
        <f t="array" ref="N110">_xlfn.SWITCH(TRIM(PROPER(M110)), "Active", "Active", "Actv", "Active", "Left", "Left", "Resigned", "Left", "Unknown")</f>
        <v>Active</v>
      </c>
      <c r="O110" t="str">
        <f>_xlfn.XLOOKUP(L110, Lookup_Performance!$A$2:$A$6, Lookup_Performance!$C$2:$C$6, "No Score", -1)</f>
        <v>Exceeding</v>
      </c>
      <c r="P110" s="11">
        <f>_xlfn.XLOOKUP(L110, Lookup_Performance!$A$2:$A$6, Lookup_Performance!$D$2:$D$6, 0, -1)</f>
        <v>0.08</v>
      </c>
      <c r="Q110" s="2">
        <f>K110*P110</f>
        <v>7654.88</v>
      </c>
    </row>
    <row r="111" spans="1:17" x14ac:dyDescent="0.25">
      <c r="A111" t="s">
        <v>203</v>
      </c>
      <c r="B111" t="s">
        <v>37</v>
      </c>
      <c r="C111" t="s">
        <v>27</v>
      </c>
      <c r="D111" t="str">
        <f t="shared" si="4"/>
        <v>Jessica Smith</v>
      </c>
      <c r="E111" t="str">
        <f>_xlfn.XLOOKUP(F111, Lookup_Departments!$A$2:$A$7, Lookup_Departments!$B$2:$B$7, "Unknown")</f>
        <v>Sales</v>
      </c>
      <c r="F111" t="str">
        <f t="shared" si="5"/>
        <v>SAL05</v>
      </c>
      <c r="G111" t="s">
        <v>42</v>
      </c>
      <c r="H111" s="3">
        <f t="shared" si="6"/>
        <v>42625</v>
      </c>
      <c r="I111" s="21">
        <f t="shared" ca="1" si="7"/>
        <v>9</v>
      </c>
      <c r="J111" s="3">
        <v>42625</v>
      </c>
      <c r="K111" s="2">
        <v>114681</v>
      </c>
      <c r="L111">
        <v>36</v>
      </c>
      <c r="M111" t="s">
        <v>16</v>
      </c>
      <c r="N111" t="str" cm="1">
        <f t="array" ref="N111">_xlfn.SWITCH(TRIM(PROPER(M111)), "Active", "Active", "Actv", "Active", "Left", "Left", "Resigned", "Left", "Unknown")</f>
        <v>Active</v>
      </c>
      <c r="O111" t="str">
        <f>_xlfn.XLOOKUP(L111, Lookup_Performance!$A$2:$A$6, Lookup_Performance!$C$2:$C$6, "No Score", -1)</f>
        <v>Needs Improvement</v>
      </c>
      <c r="P111" s="11">
        <f>_xlfn.XLOOKUP(L111, Lookup_Performance!$A$2:$A$6, Lookup_Performance!$D$2:$D$6, 0, -1)</f>
        <v>0</v>
      </c>
      <c r="Q111" s="2">
        <f>K111*P111</f>
        <v>0</v>
      </c>
    </row>
    <row r="112" spans="1:17" x14ac:dyDescent="0.25">
      <c r="A112" t="s">
        <v>204</v>
      </c>
      <c r="B112" t="s">
        <v>26</v>
      </c>
      <c r="C112" t="s">
        <v>57</v>
      </c>
      <c r="D112" t="str">
        <f t="shared" si="4"/>
        <v>Thomas Jones</v>
      </c>
      <c r="E112" t="str">
        <f>_xlfn.XLOOKUP(F112, Lookup_Departments!$A$2:$A$7, Lookup_Departments!$B$2:$B$7, "Unknown")</f>
        <v>Operations</v>
      </c>
      <c r="F112" t="str">
        <f t="shared" si="5"/>
        <v>OPS06</v>
      </c>
      <c r="G112" t="s">
        <v>35</v>
      </c>
      <c r="H112" s="3">
        <f t="shared" si="6"/>
        <v>44421</v>
      </c>
      <c r="I112" s="21">
        <f t="shared" ca="1" si="7"/>
        <v>4</v>
      </c>
      <c r="J112" s="3" t="s">
        <v>205</v>
      </c>
      <c r="K112" s="2">
        <v>109121</v>
      </c>
      <c r="L112">
        <v>72</v>
      </c>
      <c r="M112" t="s">
        <v>43</v>
      </c>
      <c r="N112" t="str" cm="1">
        <f t="array" ref="N112">_xlfn.SWITCH(TRIM(PROPER(M112)), "Active", "Active", "Actv", "Active", "Left", "Left", "Resigned", "Left", "Unknown")</f>
        <v>Active</v>
      </c>
      <c r="O112" t="str">
        <f>_xlfn.XLOOKUP(L112, Lookup_Performance!$A$2:$A$6, Lookup_Performance!$C$2:$C$6, "No Score", -1)</f>
        <v>Achieving</v>
      </c>
      <c r="P112" s="11">
        <f>_xlfn.XLOOKUP(L112, Lookup_Performance!$A$2:$A$6, Lookup_Performance!$D$2:$D$6, 0, -1)</f>
        <v>0.05</v>
      </c>
      <c r="Q112" s="2">
        <f>K112*P112</f>
        <v>5456.05</v>
      </c>
    </row>
    <row r="113" spans="1:17" x14ac:dyDescent="0.25">
      <c r="A113" t="s">
        <v>206</v>
      </c>
      <c r="B113" t="s">
        <v>68</v>
      </c>
      <c r="C113" t="s">
        <v>9</v>
      </c>
      <c r="D113" t="str">
        <f t="shared" si="4"/>
        <v>Amanda Brown</v>
      </c>
      <c r="E113" t="str">
        <f>_xlfn.XLOOKUP(F113, Lookup_Departments!$A$2:$A$7, Lookup_Departments!$B$2:$B$7, "Unknown")</f>
        <v>Marketing</v>
      </c>
      <c r="F113" t="str">
        <f t="shared" si="5"/>
        <v>MKT04</v>
      </c>
      <c r="G113" t="s">
        <v>15</v>
      </c>
      <c r="H113" s="3">
        <f t="shared" si="6"/>
        <v>43996</v>
      </c>
      <c r="I113" s="21">
        <f t="shared" ca="1" si="7"/>
        <v>6</v>
      </c>
      <c r="J113" s="3">
        <v>43996</v>
      </c>
      <c r="K113" s="2">
        <v>112791</v>
      </c>
      <c r="L113">
        <v>87</v>
      </c>
      <c r="M113" t="s">
        <v>11</v>
      </c>
      <c r="N113" t="str" cm="1">
        <f t="array" ref="N113">_xlfn.SWITCH(TRIM(PROPER(M113)), "Active", "Active", "Actv", "Active", "Left", "Left", "Resigned", "Left", "Unknown")</f>
        <v>Active</v>
      </c>
      <c r="O113" t="str">
        <f>_xlfn.XLOOKUP(L113, Lookup_Performance!$A$2:$A$6, Lookup_Performance!$C$2:$C$6, "No Score", -1)</f>
        <v>Exceeding</v>
      </c>
      <c r="P113" s="11">
        <f>_xlfn.XLOOKUP(L113, Lookup_Performance!$A$2:$A$6, Lookup_Performance!$D$2:$D$6, 0, -1)</f>
        <v>0.08</v>
      </c>
      <c r="Q113" s="2">
        <f>K113*P113</f>
        <v>9023.2800000000007</v>
      </c>
    </row>
    <row r="114" spans="1:17" x14ac:dyDescent="0.25">
      <c r="A114" t="s">
        <v>207</v>
      </c>
      <c r="B114" t="s">
        <v>56</v>
      </c>
      <c r="C114" t="s">
        <v>23</v>
      </c>
      <c r="D114" t="str">
        <f t="shared" si="4"/>
        <v>Robert Martinez</v>
      </c>
      <c r="E114" t="str">
        <f>_xlfn.XLOOKUP(F114, Lookup_Departments!$A$2:$A$7, Lookup_Departments!$B$2:$B$7, "Unknown")</f>
        <v>Information Technology</v>
      </c>
      <c r="F114" t="str">
        <f t="shared" si="5"/>
        <v>IT02</v>
      </c>
      <c r="G114" t="s">
        <v>19</v>
      </c>
      <c r="H114" s="3">
        <f t="shared" si="6"/>
        <v>44747</v>
      </c>
      <c r="I114" s="21">
        <f t="shared" ca="1" si="7"/>
        <v>4</v>
      </c>
      <c r="J114" s="3" t="s">
        <v>208</v>
      </c>
      <c r="K114" s="2">
        <v>118008</v>
      </c>
      <c r="L114">
        <v>71</v>
      </c>
      <c r="M114" t="s">
        <v>11</v>
      </c>
      <c r="N114" t="str" cm="1">
        <f t="array" ref="N114">_xlfn.SWITCH(TRIM(PROPER(M114)), "Active", "Active", "Actv", "Active", "Left", "Left", "Resigned", "Left", "Unknown")</f>
        <v>Active</v>
      </c>
      <c r="O114" t="str">
        <f>_xlfn.XLOOKUP(L114, Lookup_Performance!$A$2:$A$6, Lookup_Performance!$C$2:$C$6, "No Score", -1)</f>
        <v>Achieving</v>
      </c>
      <c r="P114" s="11">
        <f>_xlfn.XLOOKUP(L114, Lookup_Performance!$A$2:$A$6, Lookup_Performance!$D$2:$D$6, 0, -1)</f>
        <v>0.05</v>
      </c>
      <c r="Q114" s="2">
        <f>K114*P114</f>
        <v>5900.4000000000005</v>
      </c>
    </row>
    <row r="115" spans="1:17" x14ac:dyDescent="0.25">
      <c r="A115" t="s">
        <v>209</v>
      </c>
      <c r="B115" t="s">
        <v>26</v>
      </c>
      <c r="C115" t="s">
        <v>45</v>
      </c>
      <c r="D115" t="str">
        <f t="shared" si="4"/>
        <v>Thomas Miller</v>
      </c>
      <c r="E115" t="str">
        <f>_xlfn.XLOOKUP(F115, Lookup_Departments!$A$2:$A$7, Lookup_Departments!$B$2:$B$7, "Unknown")</f>
        <v>Information Technology</v>
      </c>
      <c r="F115" t="str">
        <f t="shared" si="5"/>
        <v>IT02</v>
      </c>
      <c r="G115" t="s">
        <v>10</v>
      </c>
      <c r="H115" s="3">
        <f t="shared" si="6"/>
        <v>42561</v>
      </c>
      <c r="I115" s="21">
        <f t="shared" ca="1" si="7"/>
        <v>9</v>
      </c>
      <c r="J115" s="3" t="s">
        <v>210</v>
      </c>
      <c r="K115" s="2">
        <v>74370</v>
      </c>
      <c r="L115">
        <v>82</v>
      </c>
      <c r="M115" t="s">
        <v>48</v>
      </c>
      <c r="N115" t="str" cm="1">
        <f t="array" ref="N115">_xlfn.SWITCH(TRIM(PROPER(M115)), "Active", "Active", "Actv", "Active", "Left", "Left", "Resigned", "Left", "Unknown")</f>
        <v>Active</v>
      </c>
      <c r="O115" t="str">
        <f>_xlfn.XLOOKUP(L115, Lookup_Performance!$A$2:$A$6, Lookup_Performance!$C$2:$C$6, "No Score", -1)</f>
        <v>Achieving</v>
      </c>
      <c r="P115" s="11">
        <f>_xlfn.XLOOKUP(L115, Lookup_Performance!$A$2:$A$6, Lookup_Performance!$D$2:$D$6, 0, -1)</f>
        <v>0.05</v>
      </c>
      <c r="Q115" s="2">
        <f>K115*P115</f>
        <v>3718.5</v>
      </c>
    </row>
    <row r="116" spans="1:17" x14ac:dyDescent="0.25">
      <c r="A116" t="s">
        <v>211</v>
      </c>
      <c r="B116" t="s">
        <v>108</v>
      </c>
      <c r="C116" t="s">
        <v>39</v>
      </c>
      <c r="D116" t="str">
        <f t="shared" si="4"/>
        <v>David Rodriguez</v>
      </c>
      <c r="E116" t="str">
        <f>_xlfn.XLOOKUP(F116, Lookup_Departments!$A$2:$A$7, Lookup_Departments!$B$2:$B$7, "Unknown")</f>
        <v>Information Technology</v>
      </c>
      <c r="F116" t="str">
        <f t="shared" si="5"/>
        <v>IT02</v>
      </c>
      <c r="G116" t="s">
        <v>19</v>
      </c>
      <c r="H116" s="3">
        <f t="shared" si="6"/>
        <v>44674</v>
      </c>
      <c r="I116" s="21">
        <f t="shared" ca="1" si="7"/>
        <v>4</v>
      </c>
      <c r="J116" s="3">
        <v>44674</v>
      </c>
      <c r="K116" s="2">
        <v>77819</v>
      </c>
      <c r="L116">
        <v>79</v>
      </c>
      <c r="M116" t="s">
        <v>16</v>
      </c>
      <c r="N116" t="str" cm="1">
        <f t="array" ref="N116">_xlfn.SWITCH(TRIM(PROPER(M116)), "Active", "Active", "Actv", "Active", "Left", "Left", "Resigned", "Left", "Unknown")</f>
        <v>Active</v>
      </c>
      <c r="O116" t="str">
        <f>_xlfn.XLOOKUP(L116, Lookup_Performance!$A$2:$A$6, Lookup_Performance!$C$2:$C$6, "No Score", -1)</f>
        <v>Achieving</v>
      </c>
      <c r="P116" s="11">
        <f>_xlfn.XLOOKUP(L116, Lookup_Performance!$A$2:$A$6, Lookup_Performance!$D$2:$D$6, 0, -1)</f>
        <v>0.05</v>
      </c>
      <c r="Q116" s="2">
        <f>K116*P116</f>
        <v>3890.9500000000003</v>
      </c>
    </row>
    <row r="117" spans="1:17" x14ac:dyDescent="0.25">
      <c r="A117" t="s">
        <v>212</v>
      </c>
      <c r="B117" t="s">
        <v>50</v>
      </c>
      <c r="C117" t="s">
        <v>45</v>
      </c>
      <c r="D117" t="str">
        <f t="shared" si="4"/>
        <v>Jane Miller</v>
      </c>
      <c r="E117" t="str">
        <f>_xlfn.XLOOKUP(F117, Lookup_Departments!$A$2:$A$7, Lookup_Departments!$B$2:$B$7, "Unknown")</f>
        <v>Marketing</v>
      </c>
      <c r="F117" t="str">
        <f t="shared" si="5"/>
        <v>MKT04</v>
      </c>
      <c r="G117" t="s">
        <v>58</v>
      </c>
      <c r="H117" s="3">
        <f t="shared" si="6"/>
        <v>42865</v>
      </c>
      <c r="I117" s="21">
        <f t="shared" ca="1" si="7"/>
        <v>9</v>
      </c>
      <c r="J117" s="3" t="s">
        <v>213</v>
      </c>
      <c r="K117" s="2">
        <v>48748</v>
      </c>
      <c r="L117">
        <v>83</v>
      </c>
      <c r="M117" t="s">
        <v>48</v>
      </c>
      <c r="N117" t="str" cm="1">
        <f t="array" ref="N117">_xlfn.SWITCH(TRIM(PROPER(M117)), "Active", "Active", "Actv", "Active", "Left", "Left", "Resigned", "Left", "Unknown")</f>
        <v>Active</v>
      </c>
      <c r="O117" t="str">
        <f>_xlfn.XLOOKUP(L117, Lookup_Performance!$A$2:$A$6, Lookup_Performance!$C$2:$C$6, "No Score", -1)</f>
        <v>Achieving</v>
      </c>
      <c r="P117" s="11">
        <f>_xlfn.XLOOKUP(L117, Lookup_Performance!$A$2:$A$6, Lookup_Performance!$D$2:$D$6, 0, -1)</f>
        <v>0.05</v>
      </c>
      <c r="Q117" s="2">
        <f>K117*P117</f>
        <v>2437.4</v>
      </c>
    </row>
    <row r="118" spans="1:17" x14ac:dyDescent="0.25">
      <c r="A118" t="s">
        <v>214</v>
      </c>
      <c r="B118" t="s">
        <v>63</v>
      </c>
      <c r="C118" t="s">
        <v>39</v>
      </c>
      <c r="D118" t="str">
        <f t="shared" si="4"/>
        <v>James Rodriguez</v>
      </c>
      <c r="E118" t="str">
        <f>_xlfn.XLOOKUP(F118, Lookup_Departments!$A$2:$A$7, Lookup_Departments!$B$2:$B$7, "Unknown")</f>
        <v>Operations</v>
      </c>
      <c r="F118" t="str">
        <f t="shared" si="5"/>
        <v>OPS06</v>
      </c>
      <c r="G118" t="s">
        <v>31</v>
      </c>
      <c r="H118" s="3">
        <f t="shared" si="6"/>
        <v>43971</v>
      </c>
      <c r="I118" s="21">
        <f t="shared" ca="1" si="7"/>
        <v>6</v>
      </c>
      <c r="J118" s="3">
        <v>43971</v>
      </c>
      <c r="K118" s="2">
        <v>101997</v>
      </c>
      <c r="L118">
        <v>38</v>
      </c>
      <c r="M118" t="s">
        <v>110</v>
      </c>
      <c r="N118" t="str" cm="1">
        <f t="array" ref="N118">_xlfn.SWITCH(TRIM(PROPER(M118)), "Active", "Active", "Actv", "Active", "Left", "Left", "Resigned", "Left", "Unknown")</f>
        <v>Left</v>
      </c>
      <c r="O118" t="str">
        <f>_xlfn.XLOOKUP(L118, Lookup_Performance!$A$2:$A$6, Lookup_Performance!$C$2:$C$6, "No Score", -1)</f>
        <v>Needs Improvement</v>
      </c>
      <c r="P118" s="11">
        <f>_xlfn.XLOOKUP(L118, Lookup_Performance!$A$2:$A$6, Lookup_Performance!$D$2:$D$6, 0, -1)</f>
        <v>0</v>
      </c>
      <c r="Q118" s="2">
        <f>K118*P118</f>
        <v>0</v>
      </c>
    </row>
    <row r="119" spans="1:17" x14ac:dyDescent="0.25">
      <c r="A119" t="s">
        <v>215</v>
      </c>
      <c r="B119" t="s">
        <v>89</v>
      </c>
      <c r="C119" t="s">
        <v>39</v>
      </c>
      <c r="D119" t="str">
        <f t="shared" si="4"/>
        <v>Sarah Rodriguez</v>
      </c>
      <c r="E119" t="str">
        <f>_xlfn.XLOOKUP(F119, Lookup_Departments!$A$2:$A$7, Lookup_Departments!$B$2:$B$7, "Unknown")</f>
        <v>Human Resources</v>
      </c>
      <c r="F119" t="str">
        <f t="shared" si="5"/>
        <v>HR01</v>
      </c>
      <c r="G119" t="s">
        <v>92</v>
      </c>
      <c r="H119" s="3">
        <f t="shared" si="6"/>
        <v>45036</v>
      </c>
      <c r="I119" s="21">
        <f t="shared" ca="1" si="7"/>
        <v>3</v>
      </c>
      <c r="J119" s="3" t="s">
        <v>216</v>
      </c>
      <c r="K119" s="2">
        <v>115260</v>
      </c>
      <c r="L119">
        <v>77</v>
      </c>
      <c r="M119" t="s">
        <v>48</v>
      </c>
      <c r="N119" t="str" cm="1">
        <f t="array" ref="N119">_xlfn.SWITCH(TRIM(PROPER(M119)), "Active", "Active", "Actv", "Active", "Left", "Left", "Resigned", "Left", "Unknown")</f>
        <v>Active</v>
      </c>
      <c r="O119" t="str">
        <f>_xlfn.XLOOKUP(L119, Lookup_Performance!$A$2:$A$6, Lookup_Performance!$C$2:$C$6, "No Score", -1)</f>
        <v>Achieving</v>
      </c>
      <c r="P119" s="11">
        <f>_xlfn.XLOOKUP(L119, Lookup_Performance!$A$2:$A$6, Lookup_Performance!$D$2:$D$6, 0, -1)</f>
        <v>0.05</v>
      </c>
      <c r="Q119" s="2">
        <f>K119*P119</f>
        <v>5763</v>
      </c>
    </row>
    <row r="120" spans="1:17" x14ac:dyDescent="0.25">
      <c r="A120" t="s">
        <v>217</v>
      </c>
      <c r="B120" t="s">
        <v>89</v>
      </c>
      <c r="C120" t="s">
        <v>34</v>
      </c>
      <c r="D120" t="str">
        <f t="shared" si="4"/>
        <v>Sarah Wilson</v>
      </c>
      <c r="E120" t="str">
        <f>_xlfn.XLOOKUP(F120, Lookup_Departments!$A$2:$A$7, Lookup_Departments!$B$2:$B$7, "Unknown")</f>
        <v>Sales</v>
      </c>
      <c r="F120" t="str">
        <f t="shared" si="5"/>
        <v>SAL05</v>
      </c>
      <c r="G120" t="s">
        <v>42</v>
      </c>
      <c r="H120" s="3">
        <f t="shared" si="6"/>
        <v>44500</v>
      </c>
      <c r="I120" s="21">
        <f t="shared" ca="1" si="7"/>
        <v>4</v>
      </c>
      <c r="J120" s="3">
        <v>44500</v>
      </c>
      <c r="K120" s="2">
        <v>83604</v>
      </c>
      <c r="L120">
        <v>49</v>
      </c>
      <c r="M120" t="s">
        <v>11</v>
      </c>
      <c r="N120" t="str" cm="1">
        <f t="array" ref="N120">_xlfn.SWITCH(TRIM(PROPER(M120)), "Active", "Active", "Actv", "Active", "Left", "Left", "Resigned", "Left", "Unknown")</f>
        <v>Active</v>
      </c>
      <c r="O120" t="str">
        <f>_xlfn.XLOOKUP(L120, Lookup_Performance!$A$2:$A$6, Lookup_Performance!$C$2:$C$6, "No Score", -1)</f>
        <v>Needs Improvement</v>
      </c>
      <c r="P120" s="11">
        <f>_xlfn.XLOOKUP(L120, Lookup_Performance!$A$2:$A$6, Lookup_Performance!$D$2:$D$6, 0, -1)</f>
        <v>0</v>
      </c>
      <c r="Q120" s="2">
        <f>K120*P120</f>
        <v>0</v>
      </c>
    </row>
    <row r="121" spans="1:17" x14ac:dyDescent="0.25">
      <c r="A121" t="s">
        <v>218</v>
      </c>
      <c r="B121" t="s">
        <v>100</v>
      </c>
      <c r="C121" t="s">
        <v>9</v>
      </c>
      <c r="D121" t="str">
        <f t="shared" si="4"/>
        <v>Melissa Brown</v>
      </c>
      <c r="E121" t="str">
        <f>_xlfn.XLOOKUP(F121, Lookup_Departments!$A$2:$A$7, Lookup_Departments!$B$2:$B$7, "Unknown")</f>
        <v>Information Technology</v>
      </c>
      <c r="F121" t="str">
        <f t="shared" si="5"/>
        <v>IT02</v>
      </c>
      <c r="G121" t="s">
        <v>19</v>
      </c>
      <c r="H121" s="3">
        <f t="shared" si="6"/>
        <v>44493</v>
      </c>
      <c r="I121" s="21">
        <f t="shared" ca="1" si="7"/>
        <v>4</v>
      </c>
      <c r="J121" s="3" t="s">
        <v>219</v>
      </c>
      <c r="K121" s="2">
        <v>83604</v>
      </c>
      <c r="L121">
        <v>69</v>
      </c>
      <c r="M121" t="s">
        <v>103</v>
      </c>
      <c r="N121" t="str" cm="1">
        <f t="array" ref="N121">_xlfn.SWITCH(TRIM(PROPER(M121)), "Active", "Active", "Actv", "Active", "Left", "Left", "Resigned", "Left", "Unknown")</f>
        <v>Left</v>
      </c>
      <c r="O121" t="str">
        <f>_xlfn.XLOOKUP(L121, Lookup_Performance!$A$2:$A$6, Lookup_Performance!$C$2:$C$6, "No Score", -1)</f>
        <v>Developing</v>
      </c>
      <c r="P121" s="11">
        <f>_xlfn.XLOOKUP(L121, Lookup_Performance!$A$2:$A$6, Lookup_Performance!$D$2:$D$6, 0, -1)</f>
        <v>0.02</v>
      </c>
      <c r="Q121" s="2">
        <f>K121*P121</f>
        <v>1672.08</v>
      </c>
    </row>
    <row r="122" spans="1:17" x14ac:dyDescent="0.25">
      <c r="A122" t="s">
        <v>220</v>
      </c>
      <c r="B122" t="s">
        <v>56</v>
      </c>
      <c r="C122" t="s">
        <v>51</v>
      </c>
      <c r="D122" t="str">
        <f t="shared" si="4"/>
        <v>Robert Williams</v>
      </c>
      <c r="E122" t="str">
        <f>_xlfn.XLOOKUP(F122, Lookup_Departments!$A$2:$A$7, Lookup_Departments!$B$2:$B$7, "Unknown")</f>
        <v>Sales</v>
      </c>
      <c r="F122" t="str">
        <f t="shared" si="5"/>
        <v>SAL05</v>
      </c>
      <c r="G122" t="s">
        <v>42</v>
      </c>
      <c r="H122" s="3">
        <f t="shared" si="6"/>
        <v>42956</v>
      </c>
      <c r="I122" s="21">
        <f t="shared" ca="1" si="7"/>
        <v>8</v>
      </c>
      <c r="J122" s="3">
        <v>42956</v>
      </c>
      <c r="K122" s="2">
        <v>83604</v>
      </c>
      <c r="L122">
        <v>76</v>
      </c>
      <c r="M122" t="s">
        <v>11</v>
      </c>
      <c r="N122" t="str" cm="1">
        <f t="array" ref="N122">_xlfn.SWITCH(TRIM(PROPER(M122)), "Active", "Active", "Actv", "Active", "Left", "Left", "Resigned", "Left", "Unknown")</f>
        <v>Active</v>
      </c>
      <c r="O122" t="str">
        <f>_xlfn.XLOOKUP(L122, Lookup_Performance!$A$2:$A$6, Lookup_Performance!$C$2:$C$6, "No Score", -1)</f>
        <v>Achieving</v>
      </c>
      <c r="P122" s="11">
        <f>_xlfn.XLOOKUP(L122, Lookup_Performance!$A$2:$A$6, Lookup_Performance!$D$2:$D$6, 0, -1)</f>
        <v>0.05</v>
      </c>
      <c r="Q122" s="2">
        <f>K122*P122</f>
        <v>4180.2</v>
      </c>
    </row>
    <row r="123" spans="1:17" x14ac:dyDescent="0.25">
      <c r="A123" t="s">
        <v>221</v>
      </c>
      <c r="B123" t="s">
        <v>100</v>
      </c>
      <c r="C123" t="s">
        <v>39</v>
      </c>
      <c r="D123" t="str">
        <f t="shared" si="4"/>
        <v>Melissa Rodriguez</v>
      </c>
      <c r="E123" t="str">
        <f>_xlfn.XLOOKUP(F123, Lookup_Departments!$A$2:$A$7, Lookup_Departments!$B$2:$B$7, "Unknown")</f>
        <v>Operations</v>
      </c>
      <c r="F123" t="str">
        <f t="shared" si="5"/>
        <v>OPS06</v>
      </c>
      <c r="G123" t="s">
        <v>155</v>
      </c>
      <c r="H123" s="3">
        <f t="shared" si="6"/>
        <v>44930</v>
      </c>
      <c r="I123" s="21">
        <f t="shared" ca="1" si="7"/>
        <v>3</v>
      </c>
      <c r="J123" s="3">
        <v>44930</v>
      </c>
      <c r="K123" s="2">
        <v>60623</v>
      </c>
      <c r="L123">
        <v>78</v>
      </c>
      <c r="M123" t="s">
        <v>43</v>
      </c>
      <c r="N123" t="str" cm="1">
        <f t="array" ref="N123">_xlfn.SWITCH(TRIM(PROPER(M123)), "Active", "Active", "Actv", "Active", "Left", "Left", "Resigned", "Left", "Unknown")</f>
        <v>Active</v>
      </c>
      <c r="O123" t="str">
        <f>_xlfn.XLOOKUP(L123, Lookup_Performance!$A$2:$A$6, Lookup_Performance!$C$2:$C$6, "No Score", -1)</f>
        <v>Achieving</v>
      </c>
      <c r="P123" s="11">
        <f>_xlfn.XLOOKUP(L123, Lookup_Performance!$A$2:$A$6, Lookup_Performance!$D$2:$D$6, 0, -1)</f>
        <v>0.05</v>
      </c>
      <c r="Q123" s="2">
        <f>K123*P123</f>
        <v>3031.15</v>
      </c>
    </row>
    <row r="124" spans="1:17" x14ac:dyDescent="0.25">
      <c r="A124" t="s">
        <v>222</v>
      </c>
      <c r="B124" t="s">
        <v>63</v>
      </c>
      <c r="C124" t="s">
        <v>30</v>
      </c>
      <c r="D124" t="str">
        <f t="shared" si="4"/>
        <v>James Johnson</v>
      </c>
      <c r="E124" t="str">
        <f>_xlfn.XLOOKUP(F124, Lookup_Departments!$A$2:$A$7, Lookup_Departments!$B$2:$B$7, "Unknown")</f>
        <v>Human Resources</v>
      </c>
      <c r="F124" t="str">
        <f t="shared" si="5"/>
        <v>HR01</v>
      </c>
      <c r="G124" t="s">
        <v>147</v>
      </c>
      <c r="H124" s="3">
        <f t="shared" si="6"/>
        <v>44053</v>
      </c>
      <c r="I124" s="21">
        <f t="shared" ca="1" si="7"/>
        <v>5</v>
      </c>
      <c r="J124" s="3" t="s">
        <v>223</v>
      </c>
      <c r="K124" s="2">
        <v>68092</v>
      </c>
      <c r="L124">
        <v>93</v>
      </c>
      <c r="M124" t="s">
        <v>11</v>
      </c>
      <c r="N124" t="str" cm="1">
        <f t="array" ref="N124">_xlfn.SWITCH(TRIM(PROPER(M124)), "Active", "Active", "Actv", "Active", "Left", "Left", "Resigned", "Left", "Unknown")</f>
        <v>Active</v>
      </c>
      <c r="O124" t="str">
        <f>_xlfn.XLOOKUP(L124, Lookup_Performance!$A$2:$A$6, Lookup_Performance!$C$2:$C$6, "No Score", -1)</f>
        <v>Exceeding</v>
      </c>
      <c r="P124" s="11">
        <f>_xlfn.XLOOKUP(L124, Lookup_Performance!$A$2:$A$6, Lookup_Performance!$D$2:$D$6, 0, -1)</f>
        <v>0.08</v>
      </c>
      <c r="Q124" s="2">
        <f>K124*P124</f>
        <v>5447.36</v>
      </c>
    </row>
    <row r="125" spans="1:17" x14ac:dyDescent="0.25">
      <c r="A125" t="s">
        <v>224</v>
      </c>
      <c r="B125" t="s">
        <v>41</v>
      </c>
      <c r="C125" t="s">
        <v>34</v>
      </c>
      <c r="D125" t="str">
        <f t="shared" si="4"/>
        <v>Michael Wilson</v>
      </c>
      <c r="E125" t="str">
        <f>_xlfn.XLOOKUP(F125, Lookup_Departments!$A$2:$A$7, Lookup_Departments!$B$2:$B$7, "Unknown")</f>
        <v>Marketing</v>
      </c>
      <c r="F125" t="str">
        <f t="shared" si="5"/>
        <v>MKT04</v>
      </c>
      <c r="G125" t="s">
        <v>15</v>
      </c>
      <c r="H125" s="3">
        <f t="shared" si="6"/>
        <v>44653</v>
      </c>
      <c r="I125" s="21">
        <f t="shared" ca="1" si="7"/>
        <v>4</v>
      </c>
      <c r="J125" s="3">
        <v>44653</v>
      </c>
      <c r="K125" s="2">
        <v>88155</v>
      </c>
      <c r="L125">
        <v>68</v>
      </c>
      <c r="M125" t="s">
        <v>43</v>
      </c>
      <c r="N125" t="str" cm="1">
        <f t="array" ref="N125">_xlfn.SWITCH(TRIM(PROPER(M125)), "Active", "Active", "Actv", "Active", "Left", "Left", "Resigned", "Left", "Unknown")</f>
        <v>Active</v>
      </c>
      <c r="O125" t="str">
        <f>_xlfn.XLOOKUP(L125, Lookup_Performance!$A$2:$A$6, Lookup_Performance!$C$2:$C$6, "No Score", -1)</f>
        <v>Developing</v>
      </c>
      <c r="P125" s="11">
        <f>_xlfn.XLOOKUP(L125, Lookup_Performance!$A$2:$A$6, Lookup_Performance!$D$2:$D$6, 0, -1)</f>
        <v>0.02</v>
      </c>
      <c r="Q125" s="2">
        <f>K125*P125</f>
        <v>1763.1000000000001</v>
      </c>
    </row>
    <row r="126" spans="1:17" x14ac:dyDescent="0.25">
      <c r="A126" t="s">
        <v>225</v>
      </c>
      <c r="B126" t="s">
        <v>150</v>
      </c>
      <c r="C126" t="s">
        <v>57</v>
      </c>
      <c r="D126" t="str">
        <f t="shared" si="4"/>
        <v>William Jones</v>
      </c>
      <c r="E126" t="str">
        <f>_xlfn.XLOOKUP(F126, Lookup_Departments!$A$2:$A$7, Lookup_Departments!$B$2:$B$7, "Unknown")</f>
        <v>Marketing</v>
      </c>
      <c r="F126" t="str">
        <f t="shared" si="5"/>
        <v>MKT04</v>
      </c>
      <c r="G126" t="s">
        <v>15</v>
      </c>
      <c r="H126" s="3">
        <f t="shared" si="6"/>
        <v>43183</v>
      </c>
      <c r="I126" s="21">
        <f t="shared" ca="1" si="7"/>
        <v>8</v>
      </c>
      <c r="J126" s="3" t="s">
        <v>226</v>
      </c>
      <c r="K126" s="2">
        <v>107903</v>
      </c>
      <c r="L126">
        <v>42</v>
      </c>
      <c r="M126" t="s">
        <v>16</v>
      </c>
      <c r="N126" t="str" cm="1">
        <f t="array" ref="N126">_xlfn.SWITCH(TRIM(PROPER(M126)), "Active", "Active", "Actv", "Active", "Left", "Left", "Resigned", "Left", "Unknown")</f>
        <v>Active</v>
      </c>
      <c r="O126" t="str">
        <f>_xlfn.XLOOKUP(L126, Lookup_Performance!$A$2:$A$6, Lookup_Performance!$C$2:$C$6, "No Score", -1)</f>
        <v>Needs Improvement</v>
      </c>
      <c r="P126" s="11">
        <f>_xlfn.XLOOKUP(L126, Lookup_Performance!$A$2:$A$6, Lookup_Performance!$D$2:$D$6, 0, -1)</f>
        <v>0</v>
      </c>
      <c r="Q126" s="2">
        <f>K126*P126</f>
        <v>0</v>
      </c>
    </row>
    <row r="127" spans="1:17" x14ac:dyDescent="0.25">
      <c r="A127" t="s">
        <v>227</v>
      </c>
      <c r="B127" t="s">
        <v>150</v>
      </c>
      <c r="C127" t="s">
        <v>51</v>
      </c>
      <c r="D127" t="str">
        <f t="shared" si="4"/>
        <v>William Williams</v>
      </c>
      <c r="E127" t="str">
        <f>_xlfn.XLOOKUP(F127, Lookup_Departments!$A$2:$A$7, Lookup_Departments!$B$2:$B$7, "Unknown")</f>
        <v>Information Technology</v>
      </c>
      <c r="F127" t="str">
        <f t="shared" si="5"/>
        <v>IT02</v>
      </c>
      <c r="G127" t="s">
        <v>10</v>
      </c>
      <c r="H127" s="3">
        <f t="shared" si="6"/>
        <v>43305</v>
      </c>
      <c r="I127" s="21">
        <f t="shared" ca="1" si="7"/>
        <v>7</v>
      </c>
      <c r="J127" s="3">
        <v>43305</v>
      </c>
      <c r="K127" s="2">
        <v>62818</v>
      </c>
      <c r="L127">
        <v>34</v>
      </c>
      <c r="M127" t="s">
        <v>16</v>
      </c>
      <c r="N127" t="str" cm="1">
        <f t="array" ref="N127">_xlfn.SWITCH(TRIM(PROPER(M127)), "Active", "Active", "Actv", "Active", "Left", "Left", "Resigned", "Left", "Unknown")</f>
        <v>Active</v>
      </c>
      <c r="O127" t="str">
        <f>_xlfn.XLOOKUP(L127, Lookup_Performance!$A$2:$A$6, Lookup_Performance!$C$2:$C$6, "No Score", -1)</f>
        <v>Needs Improvement</v>
      </c>
      <c r="P127" s="11">
        <f>_xlfn.XLOOKUP(L127, Lookup_Performance!$A$2:$A$6, Lookup_Performance!$D$2:$D$6, 0, -1)</f>
        <v>0</v>
      </c>
      <c r="Q127" s="2">
        <f>K127*P127</f>
        <v>0</v>
      </c>
    </row>
    <row r="128" spans="1:17" x14ac:dyDescent="0.25">
      <c r="A128" t="s">
        <v>228</v>
      </c>
      <c r="B128" t="s">
        <v>108</v>
      </c>
      <c r="C128" t="s">
        <v>51</v>
      </c>
      <c r="D128" t="str">
        <f t="shared" si="4"/>
        <v>David Williams</v>
      </c>
      <c r="E128" t="str">
        <f>_xlfn.XLOOKUP(F128, Lookup_Departments!$A$2:$A$7, Lookup_Departments!$B$2:$B$7, "Unknown")</f>
        <v>Human Resources</v>
      </c>
      <c r="F128" t="str">
        <f t="shared" si="5"/>
        <v>HR01</v>
      </c>
      <c r="G128" t="s">
        <v>147</v>
      </c>
      <c r="H128" s="3">
        <f t="shared" si="6"/>
        <v>43301</v>
      </c>
      <c r="I128" s="21">
        <f t="shared" ca="1" si="7"/>
        <v>7</v>
      </c>
      <c r="J128" s="3">
        <v>43301</v>
      </c>
      <c r="K128" s="2">
        <v>85151</v>
      </c>
      <c r="L128">
        <v>35</v>
      </c>
      <c r="M128" t="s">
        <v>16</v>
      </c>
      <c r="N128" t="str" cm="1">
        <f t="array" ref="N128">_xlfn.SWITCH(TRIM(PROPER(M128)), "Active", "Active", "Actv", "Active", "Left", "Left", "Resigned", "Left", "Unknown")</f>
        <v>Active</v>
      </c>
      <c r="O128" t="str">
        <f>_xlfn.XLOOKUP(L128, Lookup_Performance!$A$2:$A$6, Lookup_Performance!$C$2:$C$6, "No Score", -1)</f>
        <v>Needs Improvement</v>
      </c>
      <c r="P128" s="11">
        <f>_xlfn.XLOOKUP(L128, Lookup_Performance!$A$2:$A$6, Lookup_Performance!$D$2:$D$6, 0, -1)</f>
        <v>0</v>
      </c>
      <c r="Q128" s="2">
        <f>K128*P128</f>
        <v>0</v>
      </c>
    </row>
    <row r="129" spans="1:17" x14ac:dyDescent="0.25">
      <c r="A129" t="s">
        <v>229</v>
      </c>
      <c r="B129" t="s">
        <v>50</v>
      </c>
      <c r="C129" t="s">
        <v>61</v>
      </c>
      <c r="D129" t="str">
        <f t="shared" si="4"/>
        <v>Jane Davis</v>
      </c>
      <c r="E129" t="str">
        <f>_xlfn.XLOOKUP(F129, Lookup_Departments!$A$2:$A$7, Lookup_Departments!$B$2:$B$7, "Unknown")</f>
        <v>Finance</v>
      </c>
      <c r="F129" t="str">
        <f t="shared" si="5"/>
        <v>FIN03</v>
      </c>
      <c r="G129" t="s">
        <v>73</v>
      </c>
      <c r="H129" s="3">
        <f t="shared" si="6"/>
        <v>42433</v>
      </c>
      <c r="I129" s="21">
        <f t="shared" ca="1" si="7"/>
        <v>10</v>
      </c>
      <c r="J129" s="3" t="s">
        <v>230</v>
      </c>
      <c r="K129" s="2">
        <v>46390</v>
      </c>
      <c r="L129">
        <v>95</v>
      </c>
      <c r="M129" t="s">
        <v>48</v>
      </c>
      <c r="N129" t="str" cm="1">
        <f t="array" ref="N129">_xlfn.SWITCH(TRIM(PROPER(M129)), "Active", "Active", "Actv", "Active", "Left", "Left", "Resigned", "Left", "Unknown")</f>
        <v>Active</v>
      </c>
      <c r="O129" t="str">
        <f>_xlfn.XLOOKUP(L129, Lookup_Performance!$A$2:$A$6, Lookup_Performance!$C$2:$C$6, "No Score", -1)</f>
        <v>Outstanding</v>
      </c>
      <c r="P129" s="11">
        <f>_xlfn.XLOOKUP(L129, Lookup_Performance!$A$2:$A$6, Lookup_Performance!$D$2:$D$6, 0, -1)</f>
        <v>0.12</v>
      </c>
      <c r="Q129" s="2">
        <f>K129*P129</f>
        <v>5566.8</v>
      </c>
    </row>
    <row r="130" spans="1:17" x14ac:dyDescent="0.25">
      <c r="A130" t="s">
        <v>231</v>
      </c>
      <c r="B130" t="s">
        <v>22</v>
      </c>
      <c r="C130" t="s">
        <v>23</v>
      </c>
      <c r="D130" t="str">
        <f t="shared" si="4"/>
        <v>John Martinez</v>
      </c>
      <c r="E130" t="str">
        <f>_xlfn.XLOOKUP(F130, Lookup_Departments!$A$2:$A$7, Lookup_Departments!$B$2:$B$7, "Unknown")</f>
        <v>Human Resources</v>
      </c>
      <c r="F130" t="str">
        <f t="shared" si="5"/>
        <v>HR01</v>
      </c>
      <c r="G130" t="s">
        <v>147</v>
      </c>
      <c r="H130" s="3">
        <f t="shared" si="6"/>
        <v>44643</v>
      </c>
      <c r="I130" s="21">
        <f t="shared" ca="1" si="7"/>
        <v>4</v>
      </c>
      <c r="J130" s="3">
        <v>44643</v>
      </c>
      <c r="K130" s="2">
        <v>111920</v>
      </c>
      <c r="L130">
        <v>90</v>
      </c>
      <c r="M130" t="s">
        <v>20</v>
      </c>
      <c r="N130" t="str" cm="1">
        <f t="array" ref="N130">_xlfn.SWITCH(TRIM(PROPER(M130)), "Active", "Active", "Actv", "Active", "Left", "Left", "Resigned", "Left", "Unknown")</f>
        <v>Left</v>
      </c>
      <c r="O130" t="str">
        <f>_xlfn.XLOOKUP(L130, Lookup_Performance!$A$2:$A$6, Lookup_Performance!$C$2:$C$6, "No Score", -1)</f>
        <v>Exceeding</v>
      </c>
      <c r="P130" s="11">
        <f>_xlfn.XLOOKUP(L130, Lookup_Performance!$A$2:$A$6, Lookup_Performance!$D$2:$D$6, 0, -1)</f>
        <v>0.08</v>
      </c>
      <c r="Q130" s="2">
        <f>K130*P130</f>
        <v>8953.6</v>
      </c>
    </row>
    <row r="131" spans="1:17" x14ac:dyDescent="0.25">
      <c r="A131" t="s">
        <v>232</v>
      </c>
      <c r="B131" t="s">
        <v>108</v>
      </c>
      <c r="C131" t="s">
        <v>128</v>
      </c>
      <c r="D131" t="str">
        <f t="shared" ref="D131:D151" si="8">IF(AND(ISBLANK(B131), ISBLANK(C131)), "- -", IF(ISBLANK(B131), "- " &amp; TRIM(PROPER(C131)), IF(ISBLANK(C131), TRIM(PROPER(B131)) &amp; " -", _xlfn.TEXTJOIN(" ", TRUE, TRIM(PROPER(B131)), TRIM(PROPER(C131))))))</f>
        <v>David Anderson</v>
      </c>
      <c r="E131" t="str">
        <f>_xlfn.XLOOKUP(F131, Lookup_Departments!$A$2:$A$7, Lookup_Departments!$B$2:$B$7, "Unknown")</f>
        <v>Human Resources</v>
      </c>
      <c r="F131" t="str">
        <f t="shared" ref="F131:F151" si="9">UPPER(TRIM(G131))</f>
        <v>HR01</v>
      </c>
      <c r="G131" t="s">
        <v>131</v>
      </c>
      <c r="H131" s="3">
        <f t="shared" ref="H131:H151" si="10">DATEVALUE(TEXT(J131, "dd-mmm-yyyy"))</f>
        <v>42944</v>
      </c>
      <c r="I131" s="21">
        <f t="shared" ref="I131:I151" ca="1" si="11">DATEDIF(H131, TODAY(), "Y")</f>
        <v>8</v>
      </c>
      <c r="J131" s="3" t="s">
        <v>233</v>
      </c>
      <c r="K131" s="2">
        <v>115618</v>
      </c>
      <c r="L131">
        <v>42</v>
      </c>
      <c r="M131" t="s">
        <v>16</v>
      </c>
      <c r="N131" t="str" cm="1">
        <f t="array" ref="N131">_xlfn.SWITCH(TRIM(PROPER(M131)), "Active", "Active", "Actv", "Active", "Left", "Left", "Resigned", "Left", "Unknown")</f>
        <v>Active</v>
      </c>
      <c r="O131" t="str">
        <f>_xlfn.XLOOKUP(L131, Lookup_Performance!$A$2:$A$6, Lookup_Performance!$C$2:$C$6, "No Score", -1)</f>
        <v>Needs Improvement</v>
      </c>
      <c r="P131" s="11">
        <f>_xlfn.XLOOKUP(L131, Lookup_Performance!$A$2:$A$6, Lookup_Performance!$D$2:$D$6, 0, -1)</f>
        <v>0</v>
      </c>
      <c r="Q131" s="2">
        <f>K131*P131</f>
        <v>0</v>
      </c>
    </row>
    <row r="132" spans="1:17" x14ac:dyDescent="0.25">
      <c r="A132" t="s">
        <v>234</v>
      </c>
      <c r="B132" t="s">
        <v>89</v>
      </c>
      <c r="C132" t="s">
        <v>27</v>
      </c>
      <c r="D132" t="str">
        <f t="shared" si="8"/>
        <v>Sarah Smith</v>
      </c>
      <c r="E132" t="str">
        <f>_xlfn.XLOOKUP(F132, Lookup_Departments!$A$2:$A$7, Lookup_Departments!$B$2:$B$7, "Unknown")</f>
        <v>Sales</v>
      </c>
      <c r="F132" t="str">
        <f t="shared" si="9"/>
        <v>SAL05</v>
      </c>
      <c r="G132" t="s">
        <v>42</v>
      </c>
      <c r="H132" s="3">
        <f t="shared" si="10"/>
        <v>45057</v>
      </c>
      <c r="I132" s="21">
        <f t="shared" ca="1" si="11"/>
        <v>3</v>
      </c>
      <c r="J132" s="3" t="s">
        <v>235</v>
      </c>
      <c r="K132" s="2">
        <v>110618</v>
      </c>
      <c r="L132">
        <v>88</v>
      </c>
      <c r="M132" t="s">
        <v>110</v>
      </c>
      <c r="N132" t="str" cm="1">
        <f t="array" ref="N132">_xlfn.SWITCH(TRIM(PROPER(M132)), "Active", "Active", "Actv", "Active", "Left", "Left", "Resigned", "Left", "Unknown")</f>
        <v>Left</v>
      </c>
      <c r="O132" t="str">
        <f>_xlfn.XLOOKUP(L132, Lookup_Performance!$A$2:$A$6, Lookup_Performance!$C$2:$C$6, "No Score", -1)</f>
        <v>Exceeding</v>
      </c>
      <c r="P132" s="11">
        <f>_xlfn.XLOOKUP(L132, Lookup_Performance!$A$2:$A$6, Lookup_Performance!$D$2:$D$6, 0, -1)</f>
        <v>0.08</v>
      </c>
      <c r="Q132" s="2">
        <f>K132*P132</f>
        <v>8849.44</v>
      </c>
    </row>
    <row r="133" spans="1:17" x14ac:dyDescent="0.25">
      <c r="A133" t="s">
        <v>236</v>
      </c>
      <c r="B133" t="s">
        <v>100</v>
      </c>
      <c r="C133" t="s">
        <v>14</v>
      </c>
      <c r="D133" t="str">
        <f t="shared" si="8"/>
        <v>Melissa Hernandez</v>
      </c>
      <c r="E133" t="str">
        <f>_xlfn.XLOOKUP(F133, Lookup_Departments!$A$2:$A$7, Lookup_Departments!$B$2:$B$7, "Unknown")</f>
        <v>Operations</v>
      </c>
      <c r="F133" t="str">
        <f t="shared" si="9"/>
        <v>OPS06</v>
      </c>
      <c r="G133" t="s">
        <v>35</v>
      </c>
      <c r="H133" s="3">
        <f t="shared" si="10"/>
        <v>44639</v>
      </c>
      <c r="I133" s="21">
        <f t="shared" ca="1" si="11"/>
        <v>4</v>
      </c>
      <c r="J133" s="3" t="s">
        <v>237</v>
      </c>
      <c r="K133" s="2">
        <v>108395</v>
      </c>
      <c r="L133">
        <v>78</v>
      </c>
      <c r="M133" t="s">
        <v>28</v>
      </c>
      <c r="N133" t="str" cm="1">
        <f t="array" ref="N133">_xlfn.SWITCH(TRIM(PROPER(M133)), "Active", "Active", "Actv", "Active", "Left", "Left", "Resigned", "Left", "Unknown")</f>
        <v>Left</v>
      </c>
      <c r="O133" t="str">
        <f>_xlfn.XLOOKUP(L133, Lookup_Performance!$A$2:$A$6, Lookup_Performance!$C$2:$C$6, "No Score", -1)</f>
        <v>Achieving</v>
      </c>
      <c r="P133" s="11">
        <f>_xlfn.XLOOKUP(L133, Lookup_Performance!$A$2:$A$6, Lookup_Performance!$D$2:$D$6, 0, -1)</f>
        <v>0.05</v>
      </c>
      <c r="Q133" s="2">
        <f>K133*P133</f>
        <v>5419.75</v>
      </c>
    </row>
    <row r="134" spans="1:17" x14ac:dyDescent="0.25">
      <c r="A134" t="s">
        <v>238</v>
      </c>
      <c r="B134" t="s">
        <v>100</v>
      </c>
      <c r="C134" t="s">
        <v>30</v>
      </c>
      <c r="D134" t="str">
        <f t="shared" si="8"/>
        <v>Melissa Johnson</v>
      </c>
      <c r="E134" t="str">
        <f>_xlfn.XLOOKUP(F134, Lookup_Departments!$A$2:$A$7, Lookup_Departments!$B$2:$B$7, "Unknown")</f>
        <v>Finance</v>
      </c>
      <c r="F134" t="str">
        <f t="shared" si="9"/>
        <v>FIN03</v>
      </c>
      <c r="G134" t="s">
        <v>24</v>
      </c>
      <c r="H134" s="3">
        <f t="shared" si="10"/>
        <v>43091</v>
      </c>
      <c r="I134" s="21">
        <f t="shared" ca="1" si="11"/>
        <v>8</v>
      </c>
      <c r="J134" s="3">
        <v>43091</v>
      </c>
      <c r="K134" s="2">
        <v>88005</v>
      </c>
      <c r="L134">
        <v>69</v>
      </c>
      <c r="M134" t="s">
        <v>48</v>
      </c>
      <c r="N134" t="str" cm="1">
        <f t="array" ref="N134">_xlfn.SWITCH(TRIM(PROPER(M134)), "Active", "Active", "Actv", "Active", "Left", "Left", "Resigned", "Left", "Unknown")</f>
        <v>Active</v>
      </c>
      <c r="O134" t="str">
        <f>_xlfn.XLOOKUP(L134, Lookup_Performance!$A$2:$A$6, Lookup_Performance!$C$2:$C$6, "No Score", -1)</f>
        <v>Developing</v>
      </c>
      <c r="P134" s="11">
        <f>_xlfn.XLOOKUP(L134, Lookup_Performance!$A$2:$A$6, Lookup_Performance!$D$2:$D$6, 0, -1)</f>
        <v>0.02</v>
      </c>
      <c r="Q134" s="2">
        <f>K134*P134</f>
        <v>1760.1000000000001</v>
      </c>
    </row>
    <row r="135" spans="1:17" x14ac:dyDescent="0.25">
      <c r="A135" t="s">
        <v>239</v>
      </c>
      <c r="B135" t="s">
        <v>50</v>
      </c>
      <c r="C135" t="s">
        <v>126</v>
      </c>
      <c r="D135" t="str">
        <f t="shared" si="8"/>
        <v>Jane Garcia</v>
      </c>
      <c r="E135" t="str">
        <f>_xlfn.XLOOKUP(F135, Lookup_Departments!$A$2:$A$7, Lookup_Departments!$B$2:$B$7, "Unknown")</f>
        <v>Marketing</v>
      </c>
      <c r="F135" t="str">
        <f t="shared" si="9"/>
        <v>MKT04</v>
      </c>
      <c r="G135" t="s">
        <v>58</v>
      </c>
      <c r="H135" s="3">
        <f t="shared" si="10"/>
        <v>44437</v>
      </c>
      <c r="I135" s="21">
        <f t="shared" ca="1" si="11"/>
        <v>4</v>
      </c>
      <c r="J135" s="3" t="s">
        <v>240</v>
      </c>
      <c r="K135" s="2">
        <v>83007</v>
      </c>
      <c r="L135">
        <v>82</v>
      </c>
      <c r="M135" t="s">
        <v>43</v>
      </c>
      <c r="N135" t="str" cm="1">
        <f t="array" ref="N135">_xlfn.SWITCH(TRIM(PROPER(M135)), "Active", "Active", "Actv", "Active", "Left", "Left", "Resigned", "Left", "Unknown")</f>
        <v>Active</v>
      </c>
      <c r="O135" t="str">
        <f>_xlfn.XLOOKUP(L135, Lookup_Performance!$A$2:$A$6, Lookup_Performance!$C$2:$C$6, "No Score", -1)</f>
        <v>Achieving</v>
      </c>
      <c r="P135" s="11">
        <f>_xlfn.XLOOKUP(L135, Lookup_Performance!$A$2:$A$6, Lookup_Performance!$D$2:$D$6, 0, -1)</f>
        <v>0.05</v>
      </c>
      <c r="Q135" s="2">
        <f>K135*P135</f>
        <v>4150.3500000000004</v>
      </c>
    </row>
    <row r="136" spans="1:17" x14ac:dyDescent="0.25">
      <c r="A136" t="s">
        <v>241</v>
      </c>
      <c r="B136" t="s">
        <v>108</v>
      </c>
      <c r="C136" t="s">
        <v>61</v>
      </c>
      <c r="D136" t="str">
        <f t="shared" si="8"/>
        <v>David Davis</v>
      </c>
      <c r="E136" t="str">
        <f>_xlfn.XLOOKUP(F136, Lookup_Departments!$A$2:$A$7, Lookup_Departments!$B$2:$B$7, "Unknown")</f>
        <v>Information Technology</v>
      </c>
      <c r="F136" t="str">
        <f t="shared" si="9"/>
        <v>IT02</v>
      </c>
      <c r="G136" t="s">
        <v>10</v>
      </c>
      <c r="H136" s="3">
        <f t="shared" si="10"/>
        <v>43360</v>
      </c>
      <c r="I136" s="21">
        <f t="shared" ca="1" si="11"/>
        <v>7</v>
      </c>
      <c r="J136" s="3">
        <v>43360</v>
      </c>
      <c r="K136" s="2">
        <v>61547</v>
      </c>
      <c r="L136">
        <v>68</v>
      </c>
      <c r="M136" t="s">
        <v>16</v>
      </c>
      <c r="N136" t="str" cm="1">
        <f t="array" ref="N136">_xlfn.SWITCH(TRIM(PROPER(M136)), "Active", "Active", "Actv", "Active", "Left", "Left", "Resigned", "Left", "Unknown")</f>
        <v>Active</v>
      </c>
      <c r="O136" t="str">
        <f>_xlfn.XLOOKUP(L136, Lookup_Performance!$A$2:$A$6, Lookup_Performance!$C$2:$C$6, "No Score", -1)</f>
        <v>Developing</v>
      </c>
      <c r="P136" s="11">
        <f>_xlfn.XLOOKUP(L136, Lookup_Performance!$A$2:$A$6, Lookup_Performance!$D$2:$D$6, 0, -1)</f>
        <v>0.02</v>
      </c>
      <c r="Q136" s="2">
        <f>K136*P136</f>
        <v>1230.94</v>
      </c>
    </row>
    <row r="137" spans="1:17" x14ac:dyDescent="0.25">
      <c r="A137" t="s">
        <v>242</v>
      </c>
      <c r="B137" t="s">
        <v>63</v>
      </c>
      <c r="C137" t="s">
        <v>34</v>
      </c>
      <c r="D137" t="str">
        <f t="shared" si="8"/>
        <v>James Wilson</v>
      </c>
      <c r="E137" t="str">
        <f>_xlfn.XLOOKUP(F137, Lookup_Departments!$A$2:$A$7, Lookup_Departments!$B$2:$B$7, "Unknown")</f>
        <v>Sales</v>
      </c>
      <c r="F137" t="str">
        <f t="shared" si="9"/>
        <v>SAL05</v>
      </c>
      <c r="G137" t="s">
        <v>46</v>
      </c>
      <c r="H137" s="3">
        <f t="shared" si="10"/>
        <v>44375</v>
      </c>
      <c r="I137" s="21">
        <f t="shared" ca="1" si="11"/>
        <v>5</v>
      </c>
      <c r="J137" s="3">
        <v>44375</v>
      </c>
      <c r="K137" s="2">
        <v>83604</v>
      </c>
      <c r="L137">
        <v>52</v>
      </c>
      <c r="M137" t="s">
        <v>43</v>
      </c>
      <c r="N137" t="str" cm="1">
        <f t="array" ref="N137">_xlfn.SWITCH(TRIM(PROPER(M137)), "Active", "Active", "Actv", "Active", "Left", "Left", "Resigned", "Left", "Unknown")</f>
        <v>Active</v>
      </c>
      <c r="O137" t="str">
        <f>_xlfn.XLOOKUP(L137, Lookup_Performance!$A$2:$A$6, Lookup_Performance!$C$2:$C$6, "No Score", -1)</f>
        <v>Developing</v>
      </c>
      <c r="P137" s="11">
        <f>_xlfn.XLOOKUP(L137, Lookup_Performance!$A$2:$A$6, Lookup_Performance!$D$2:$D$6, 0, -1)</f>
        <v>0.02</v>
      </c>
      <c r="Q137" s="2">
        <f>K137*P137</f>
        <v>1672.08</v>
      </c>
    </row>
    <row r="138" spans="1:17" x14ac:dyDescent="0.25">
      <c r="A138" t="s">
        <v>243</v>
      </c>
      <c r="B138" t="s">
        <v>13</v>
      </c>
      <c r="C138" t="s">
        <v>30</v>
      </c>
      <c r="D138" t="str">
        <f t="shared" si="8"/>
        <v>Richard Johnson</v>
      </c>
      <c r="E138" t="str">
        <f>_xlfn.XLOOKUP(F138, Lookup_Departments!$A$2:$A$7, Lookup_Departments!$B$2:$B$7, "Unknown")</f>
        <v>Operations</v>
      </c>
      <c r="F138" t="str">
        <f t="shared" si="9"/>
        <v>OPS06</v>
      </c>
      <c r="G138" t="s">
        <v>31</v>
      </c>
      <c r="H138" s="3">
        <f t="shared" si="10"/>
        <v>43011</v>
      </c>
      <c r="I138" s="21">
        <f t="shared" ca="1" si="11"/>
        <v>8</v>
      </c>
      <c r="J138" s="3" t="s">
        <v>244</v>
      </c>
      <c r="K138" s="2">
        <v>50399</v>
      </c>
      <c r="L138">
        <v>92</v>
      </c>
      <c r="M138" t="s">
        <v>103</v>
      </c>
      <c r="N138" t="str" cm="1">
        <f t="array" ref="N138">_xlfn.SWITCH(TRIM(PROPER(M138)), "Active", "Active", "Actv", "Active", "Left", "Left", "Resigned", "Left", "Unknown")</f>
        <v>Left</v>
      </c>
      <c r="O138" t="str">
        <f>_xlfn.XLOOKUP(L138, Lookup_Performance!$A$2:$A$6, Lookup_Performance!$C$2:$C$6, "No Score", -1)</f>
        <v>Exceeding</v>
      </c>
      <c r="P138" s="11">
        <f>_xlfn.XLOOKUP(L138, Lookup_Performance!$A$2:$A$6, Lookup_Performance!$D$2:$D$6, 0, -1)</f>
        <v>0.08</v>
      </c>
      <c r="Q138" s="2">
        <f>K138*P138</f>
        <v>4031.92</v>
      </c>
    </row>
    <row r="139" spans="1:17" x14ac:dyDescent="0.25">
      <c r="A139" t="s">
        <v>245</v>
      </c>
      <c r="B139" t="s">
        <v>13</v>
      </c>
      <c r="C139" t="s">
        <v>51</v>
      </c>
      <c r="D139" t="str">
        <f t="shared" si="8"/>
        <v>Richard Williams</v>
      </c>
      <c r="E139" t="str">
        <f>_xlfn.XLOOKUP(F139, Lookup_Departments!$A$2:$A$7, Lookup_Departments!$B$2:$B$7, "Unknown")</f>
        <v>Finance</v>
      </c>
      <c r="F139" t="str">
        <f t="shared" si="9"/>
        <v>FIN03</v>
      </c>
      <c r="G139" t="s">
        <v>24</v>
      </c>
      <c r="H139" s="3">
        <f t="shared" si="10"/>
        <v>42299</v>
      </c>
      <c r="I139" s="21">
        <f t="shared" ca="1" si="11"/>
        <v>10</v>
      </c>
      <c r="J139" s="3" t="s">
        <v>246</v>
      </c>
      <c r="K139" s="2">
        <v>83604</v>
      </c>
      <c r="L139">
        <v>62</v>
      </c>
      <c r="M139" t="s">
        <v>16</v>
      </c>
      <c r="N139" t="str" cm="1">
        <f t="array" ref="N139">_xlfn.SWITCH(TRIM(PROPER(M139)), "Active", "Active", "Actv", "Active", "Left", "Left", "Resigned", "Left", "Unknown")</f>
        <v>Active</v>
      </c>
      <c r="O139" t="str">
        <f>_xlfn.XLOOKUP(L139, Lookup_Performance!$A$2:$A$6, Lookup_Performance!$C$2:$C$6, "No Score", -1)</f>
        <v>Developing</v>
      </c>
      <c r="P139" s="11">
        <f>_xlfn.XLOOKUP(L139, Lookup_Performance!$A$2:$A$6, Lookup_Performance!$D$2:$D$6, 0, -1)</f>
        <v>0.02</v>
      </c>
      <c r="Q139" s="2">
        <f>K139*P139</f>
        <v>1672.08</v>
      </c>
    </row>
    <row r="140" spans="1:17" x14ac:dyDescent="0.25">
      <c r="A140" t="s">
        <v>247</v>
      </c>
      <c r="B140" t="s">
        <v>22</v>
      </c>
      <c r="C140" t="s">
        <v>14</v>
      </c>
      <c r="D140" t="str">
        <f t="shared" si="8"/>
        <v>John Hernandez</v>
      </c>
      <c r="E140" t="str">
        <f>_xlfn.XLOOKUP(F140, Lookup_Departments!$A$2:$A$7, Lookup_Departments!$B$2:$B$7, "Unknown")</f>
        <v>Operations</v>
      </c>
      <c r="F140" t="str">
        <f t="shared" si="9"/>
        <v>OPS06</v>
      </c>
      <c r="G140" t="s">
        <v>31</v>
      </c>
      <c r="H140" s="3">
        <f t="shared" si="10"/>
        <v>43257</v>
      </c>
      <c r="I140" s="21">
        <f t="shared" ca="1" si="11"/>
        <v>8</v>
      </c>
      <c r="J140" s="3">
        <v>43257</v>
      </c>
      <c r="K140" s="2">
        <v>52720</v>
      </c>
      <c r="L140">
        <v>68</v>
      </c>
      <c r="M140" t="s">
        <v>16</v>
      </c>
      <c r="N140" t="str" cm="1">
        <f t="array" ref="N140">_xlfn.SWITCH(TRIM(PROPER(M140)), "Active", "Active", "Actv", "Active", "Left", "Left", "Resigned", "Left", "Unknown")</f>
        <v>Active</v>
      </c>
      <c r="O140" t="str">
        <f>_xlfn.XLOOKUP(L140, Lookup_Performance!$A$2:$A$6, Lookup_Performance!$C$2:$C$6, "No Score", -1)</f>
        <v>Developing</v>
      </c>
      <c r="P140" s="11">
        <f>_xlfn.XLOOKUP(L140, Lookup_Performance!$A$2:$A$6, Lookup_Performance!$D$2:$D$6, 0, -1)</f>
        <v>0.02</v>
      </c>
      <c r="Q140" s="2">
        <f>K140*P140</f>
        <v>1054.4000000000001</v>
      </c>
    </row>
    <row r="141" spans="1:17" x14ac:dyDescent="0.25">
      <c r="A141" t="s">
        <v>248</v>
      </c>
      <c r="B141" t="s">
        <v>89</v>
      </c>
      <c r="C141" t="s">
        <v>18</v>
      </c>
      <c r="D141" t="str">
        <f t="shared" si="8"/>
        <v>Sarah Gonzalez</v>
      </c>
      <c r="E141" t="str">
        <f>_xlfn.XLOOKUP(F141, Lookup_Departments!$A$2:$A$7, Lookup_Departments!$B$2:$B$7, "Unknown")</f>
        <v>Operations</v>
      </c>
      <c r="F141" t="str">
        <f t="shared" si="9"/>
        <v>OPS06</v>
      </c>
      <c r="G141" t="s">
        <v>31</v>
      </c>
      <c r="H141" s="3">
        <f t="shared" si="10"/>
        <v>42932</v>
      </c>
      <c r="I141" s="21">
        <f t="shared" ca="1" si="11"/>
        <v>8</v>
      </c>
      <c r="J141" s="3">
        <v>42932</v>
      </c>
      <c r="K141" s="2">
        <v>65065</v>
      </c>
      <c r="L141">
        <v>98</v>
      </c>
      <c r="M141" t="s">
        <v>43</v>
      </c>
      <c r="N141" t="str" cm="1">
        <f t="array" ref="N141">_xlfn.SWITCH(TRIM(PROPER(M141)), "Active", "Active", "Actv", "Active", "Left", "Left", "Resigned", "Left", "Unknown")</f>
        <v>Active</v>
      </c>
      <c r="O141" t="str">
        <f>_xlfn.XLOOKUP(L141, Lookup_Performance!$A$2:$A$6, Lookup_Performance!$C$2:$C$6, "No Score", -1)</f>
        <v>Outstanding</v>
      </c>
      <c r="P141" s="11">
        <f>_xlfn.XLOOKUP(L141, Lookup_Performance!$A$2:$A$6, Lookup_Performance!$D$2:$D$6, 0, -1)</f>
        <v>0.12</v>
      </c>
      <c r="Q141" s="2">
        <f>K141*P141</f>
        <v>7807.7999999999993</v>
      </c>
    </row>
    <row r="142" spans="1:17" x14ac:dyDescent="0.25">
      <c r="A142" t="s">
        <v>249</v>
      </c>
      <c r="B142" t="s">
        <v>100</v>
      </c>
      <c r="C142" t="s">
        <v>14</v>
      </c>
      <c r="D142" t="str">
        <f t="shared" si="8"/>
        <v>Melissa Hernandez</v>
      </c>
      <c r="E142" t="str">
        <f>_xlfn.XLOOKUP(F142, Lookup_Departments!$A$2:$A$7, Lookup_Departments!$B$2:$B$7, "Unknown")</f>
        <v>Sales</v>
      </c>
      <c r="F142" t="str">
        <f t="shared" si="9"/>
        <v>SAL05</v>
      </c>
      <c r="G142" t="s">
        <v>42</v>
      </c>
      <c r="H142" s="3">
        <f t="shared" si="10"/>
        <v>42175</v>
      </c>
      <c r="I142" s="21">
        <f t="shared" ca="1" si="11"/>
        <v>11</v>
      </c>
      <c r="J142" s="3">
        <v>42175</v>
      </c>
      <c r="K142" s="2">
        <v>83604</v>
      </c>
      <c r="L142">
        <v>94</v>
      </c>
      <c r="M142" t="s">
        <v>110</v>
      </c>
      <c r="N142" t="str" cm="1">
        <f t="array" ref="N142">_xlfn.SWITCH(TRIM(PROPER(M142)), "Active", "Active", "Actv", "Active", "Left", "Left", "Resigned", "Left", "Unknown")</f>
        <v>Left</v>
      </c>
      <c r="O142" t="str">
        <f>_xlfn.XLOOKUP(L142, Lookup_Performance!$A$2:$A$6, Lookup_Performance!$C$2:$C$6, "No Score", -1)</f>
        <v>Exceeding</v>
      </c>
      <c r="P142" s="11">
        <f>_xlfn.XLOOKUP(L142, Lookup_Performance!$A$2:$A$6, Lookup_Performance!$D$2:$D$6, 0, -1)</f>
        <v>0.08</v>
      </c>
      <c r="Q142" s="2">
        <f>K142*P142</f>
        <v>6688.32</v>
      </c>
    </row>
    <row r="143" spans="1:17" x14ac:dyDescent="0.25">
      <c r="A143" t="s">
        <v>250</v>
      </c>
      <c r="B143" t="s">
        <v>100</v>
      </c>
      <c r="C143" t="s">
        <v>14</v>
      </c>
      <c r="D143" t="str">
        <f t="shared" si="8"/>
        <v>Melissa Hernandez</v>
      </c>
      <c r="E143" t="str">
        <f>_xlfn.XLOOKUP(F143, Lookup_Departments!$A$2:$A$7, Lookup_Departments!$B$2:$B$7, "Unknown")</f>
        <v>Operations</v>
      </c>
      <c r="F143" t="str">
        <f t="shared" si="9"/>
        <v>OPS06</v>
      </c>
      <c r="G143" t="s">
        <v>35</v>
      </c>
      <c r="H143" s="3">
        <f t="shared" si="10"/>
        <v>43609</v>
      </c>
      <c r="I143" s="21">
        <f t="shared" ca="1" si="11"/>
        <v>7</v>
      </c>
      <c r="J143" s="3">
        <v>43609</v>
      </c>
      <c r="K143" s="2">
        <v>108119</v>
      </c>
      <c r="L143">
        <v>57</v>
      </c>
      <c r="M143" t="s">
        <v>110</v>
      </c>
      <c r="N143" t="str" cm="1">
        <f t="array" ref="N143">_xlfn.SWITCH(TRIM(PROPER(M143)), "Active", "Active", "Actv", "Active", "Left", "Left", "Resigned", "Left", "Unknown")</f>
        <v>Left</v>
      </c>
      <c r="O143" t="str">
        <f>_xlfn.XLOOKUP(L143, Lookup_Performance!$A$2:$A$6, Lookup_Performance!$C$2:$C$6, "No Score", -1)</f>
        <v>Developing</v>
      </c>
      <c r="P143" s="11">
        <f>_xlfn.XLOOKUP(L143, Lookup_Performance!$A$2:$A$6, Lookup_Performance!$D$2:$D$6, 0, -1)</f>
        <v>0.02</v>
      </c>
      <c r="Q143" s="2">
        <f>K143*P143</f>
        <v>2162.38</v>
      </c>
    </row>
    <row r="144" spans="1:17" x14ac:dyDescent="0.25">
      <c r="A144" t="s">
        <v>251</v>
      </c>
      <c r="B144" t="s">
        <v>22</v>
      </c>
      <c r="C144" t="s">
        <v>61</v>
      </c>
      <c r="D144" t="str">
        <f t="shared" si="8"/>
        <v>John Davis</v>
      </c>
      <c r="E144" t="str">
        <f>_xlfn.XLOOKUP(F144, Lookup_Departments!$A$2:$A$7, Lookup_Departments!$B$2:$B$7, "Unknown")</f>
        <v>Information Technology</v>
      </c>
      <c r="F144" t="str">
        <f t="shared" si="9"/>
        <v>IT02</v>
      </c>
      <c r="G144" t="s">
        <v>80</v>
      </c>
      <c r="H144" s="3">
        <f t="shared" si="10"/>
        <v>43887</v>
      </c>
      <c r="I144" s="21">
        <f t="shared" ca="1" si="11"/>
        <v>6</v>
      </c>
      <c r="J144" s="3">
        <v>43887</v>
      </c>
      <c r="K144" s="2">
        <v>83604</v>
      </c>
      <c r="L144">
        <v>96</v>
      </c>
      <c r="M144" t="s">
        <v>11</v>
      </c>
      <c r="N144" t="str" cm="1">
        <f t="array" ref="N144">_xlfn.SWITCH(TRIM(PROPER(M144)), "Active", "Active", "Actv", "Active", "Left", "Left", "Resigned", "Left", "Unknown")</f>
        <v>Active</v>
      </c>
      <c r="O144" t="str">
        <f>_xlfn.XLOOKUP(L144, Lookup_Performance!$A$2:$A$6, Lookup_Performance!$C$2:$C$6, "No Score", -1)</f>
        <v>Outstanding</v>
      </c>
      <c r="P144" s="11">
        <f>_xlfn.XLOOKUP(L144, Lookup_Performance!$A$2:$A$6, Lookup_Performance!$D$2:$D$6, 0, -1)</f>
        <v>0.12</v>
      </c>
      <c r="Q144" s="2">
        <f>K144*P144</f>
        <v>10032.48</v>
      </c>
    </row>
    <row r="145" spans="1:17" x14ac:dyDescent="0.25">
      <c r="A145" t="s">
        <v>252</v>
      </c>
      <c r="B145" t="s">
        <v>13</v>
      </c>
      <c r="C145" t="s">
        <v>61</v>
      </c>
      <c r="D145" t="str">
        <f t="shared" si="8"/>
        <v>Richard Davis</v>
      </c>
      <c r="E145" t="str">
        <f>_xlfn.XLOOKUP(F145, Lookup_Departments!$A$2:$A$7, Lookup_Departments!$B$2:$B$7, "Unknown")</f>
        <v>Human Resources</v>
      </c>
      <c r="F145" t="str">
        <f t="shared" si="9"/>
        <v>HR01</v>
      </c>
      <c r="G145" t="s">
        <v>92</v>
      </c>
      <c r="H145" s="3">
        <f t="shared" si="10"/>
        <v>44991</v>
      </c>
      <c r="I145" s="21">
        <f t="shared" ca="1" si="11"/>
        <v>3</v>
      </c>
      <c r="J145" s="3">
        <v>44991</v>
      </c>
      <c r="K145" s="2">
        <v>106896</v>
      </c>
      <c r="L145">
        <v>52</v>
      </c>
      <c r="M145" t="s">
        <v>20</v>
      </c>
      <c r="N145" t="str" cm="1">
        <f t="array" ref="N145">_xlfn.SWITCH(TRIM(PROPER(M145)), "Active", "Active", "Actv", "Active", "Left", "Left", "Resigned", "Left", "Unknown")</f>
        <v>Left</v>
      </c>
      <c r="O145" t="str">
        <f>_xlfn.XLOOKUP(L145, Lookup_Performance!$A$2:$A$6, Lookup_Performance!$C$2:$C$6, "No Score", -1)</f>
        <v>Developing</v>
      </c>
      <c r="P145" s="11">
        <f>_xlfn.XLOOKUP(L145, Lookup_Performance!$A$2:$A$6, Lookup_Performance!$D$2:$D$6, 0, -1)</f>
        <v>0.02</v>
      </c>
      <c r="Q145" s="2">
        <f>K145*P145</f>
        <v>2137.92</v>
      </c>
    </row>
    <row r="146" spans="1:17" x14ac:dyDescent="0.25">
      <c r="A146" t="s">
        <v>253</v>
      </c>
      <c r="C146" t="s">
        <v>57</v>
      </c>
      <c r="D146" t="str">
        <f t="shared" si="8"/>
        <v>- Jones</v>
      </c>
      <c r="E146" t="str">
        <f>_xlfn.XLOOKUP(F146, Lookup_Departments!$A$2:$A$7, Lookup_Departments!$B$2:$B$7, "Unknown")</f>
        <v>Information Technology</v>
      </c>
      <c r="F146" t="str">
        <f t="shared" si="9"/>
        <v>IT02</v>
      </c>
      <c r="G146" t="s">
        <v>19</v>
      </c>
      <c r="H146" s="3">
        <f t="shared" si="10"/>
        <v>43477</v>
      </c>
      <c r="I146" s="21">
        <f t="shared" ca="1" si="11"/>
        <v>7</v>
      </c>
      <c r="J146" s="3" t="s">
        <v>254</v>
      </c>
      <c r="K146" s="2">
        <v>112887</v>
      </c>
      <c r="L146">
        <v>59</v>
      </c>
      <c r="M146" t="s">
        <v>48</v>
      </c>
      <c r="N146" t="str" cm="1">
        <f t="array" ref="N146">_xlfn.SWITCH(TRIM(PROPER(M146)), "Active", "Active", "Actv", "Active", "Left", "Left", "Resigned", "Left", "Unknown")</f>
        <v>Active</v>
      </c>
      <c r="O146" t="str">
        <f>_xlfn.XLOOKUP(L146, Lookup_Performance!$A$2:$A$6, Lookup_Performance!$C$2:$C$6, "No Score", -1)</f>
        <v>Developing</v>
      </c>
      <c r="P146" s="11">
        <f>_xlfn.XLOOKUP(L146, Lookup_Performance!$A$2:$A$6, Lookup_Performance!$D$2:$D$6, 0, -1)</f>
        <v>0.02</v>
      </c>
      <c r="Q146" s="2">
        <f>K146*P146</f>
        <v>2257.7400000000002</v>
      </c>
    </row>
    <row r="147" spans="1:17" x14ac:dyDescent="0.25">
      <c r="A147" t="s">
        <v>255</v>
      </c>
      <c r="B147" t="s">
        <v>150</v>
      </c>
      <c r="C147" t="s">
        <v>39</v>
      </c>
      <c r="D147" t="str">
        <f t="shared" si="8"/>
        <v>William Rodriguez</v>
      </c>
      <c r="E147" t="str">
        <f>_xlfn.XLOOKUP(F147, Lookup_Departments!$A$2:$A$7, Lookup_Departments!$B$2:$B$7, "Unknown")</f>
        <v>Finance</v>
      </c>
      <c r="F147" t="str">
        <f t="shared" si="9"/>
        <v>FIN03</v>
      </c>
      <c r="G147" t="s">
        <v>24</v>
      </c>
      <c r="H147" s="3">
        <f t="shared" si="10"/>
        <v>45037</v>
      </c>
      <c r="I147" s="21">
        <f t="shared" ca="1" si="11"/>
        <v>3</v>
      </c>
      <c r="J147" s="3">
        <v>45037</v>
      </c>
      <c r="K147" s="2">
        <v>85457</v>
      </c>
      <c r="L147">
        <v>79</v>
      </c>
      <c r="M147" t="s">
        <v>16</v>
      </c>
      <c r="N147" t="str" cm="1">
        <f t="array" ref="N147">_xlfn.SWITCH(TRIM(PROPER(M147)), "Active", "Active", "Actv", "Active", "Left", "Left", "Resigned", "Left", "Unknown")</f>
        <v>Active</v>
      </c>
      <c r="O147" t="str">
        <f>_xlfn.XLOOKUP(L147, Lookup_Performance!$A$2:$A$6, Lookup_Performance!$C$2:$C$6, "No Score", -1)</f>
        <v>Achieving</v>
      </c>
      <c r="P147" s="11">
        <f>_xlfn.XLOOKUP(L147, Lookup_Performance!$A$2:$A$6, Lookup_Performance!$D$2:$D$6, 0, -1)</f>
        <v>0.05</v>
      </c>
      <c r="Q147" s="2">
        <f>K147*P147</f>
        <v>4272.8500000000004</v>
      </c>
    </row>
    <row r="148" spans="1:17" x14ac:dyDescent="0.25">
      <c r="A148" t="s">
        <v>256</v>
      </c>
      <c r="B148" t="s">
        <v>100</v>
      </c>
      <c r="C148" t="s">
        <v>45</v>
      </c>
      <c r="D148" t="str">
        <f t="shared" si="8"/>
        <v>Melissa Miller</v>
      </c>
      <c r="E148" t="str">
        <f>_xlfn.XLOOKUP(F148, Lookup_Departments!$A$2:$A$7, Lookup_Departments!$B$2:$B$7, "Unknown")</f>
        <v>Sales</v>
      </c>
      <c r="F148" t="str">
        <f t="shared" si="9"/>
        <v>SAL05</v>
      </c>
      <c r="G148" t="s">
        <v>46</v>
      </c>
      <c r="H148" s="3">
        <f t="shared" si="10"/>
        <v>42519</v>
      </c>
      <c r="I148" s="21">
        <f t="shared" ca="1" si="11"/>
        <v>10</v>
      </c>
      <c r="J148" s="3">
        <v>42519</v>
      </c>
      <c r="K148" s="2">
        <v>62798</v>
      </c>
      <c r="L148">
        <v>30</v>
      </c>
      <c r="M148" t="s">
        <v>16</v>
      </c>
      <c r="N148" t="str" cm="1">
        <f t="array" ref="N148">_xlfn.SWITCH(TRIM(PROPER(M148)), "Active", "Active", "Actv", "Active", "Left", "Left", "Resigned", "Left", "Unknown")</f>
        <v>Active</v>
      </c>
      <c r="O148" t="str">
        <f>_xlfn.XLOOKUP(L148, Lookup_Performance!$A$2:$A$6, Lookup_Performance!$C$2:$C$6, "No Score", -1)</f>
        <v>Needs Improvement</v>
      </c>
      <c r="P148" s="11">
        <f>_xlfn.XLOOKUP(L148, Lookup_Performance!$A$2:$A$6, Lookup_Performance!$D$2:$D$6, 0, -1)</f>
        <v>0</v>
      </c>
      <c r="Q148" s="2">
        <f>K148*P148</f>
        <v>0</v>
      </c>
    </row>
    <row r="149" spans="1:17" x14ac:dyDescent="0.25">
      <c r="A149" t="s">
        <v>257</v>
      </c>
      <c r="B149" t="s">
        <v>8</v>
      </c>
      <c r="C149" t="s">
        <v>23</v>
      </c>
      <c r="D149" t="str">
        <f t="shared" si="8"/>
        <v>Emily Martinez</v>
      </c>
      <c r="E149" t="str">
        <f>_xlfn.XLOOKUP(F149, Lookup_Departments!$A$2:$A$7, Lookup_Departments!$B$2:$B$7, "Unknown")</f>
        <v>Operations</v>
      </c>
      <c r="F149" t="str">
        <f t="shared" si="9"/>
        <v>OPS06</v>
      </c>
      <c r="G149" t="s">
        <v>31</v>
      </c>
      <c r="H149" s="3">
        <f t="shared" si="10"/>
        <v>44711</v>
      </c>
      <c r="I149" s="21">
        <f t="shared" ca="1" si="11"/>
        <v>4</v>
      </c>
      <c r="J149" s="3">
        <v>44711</v>
      </c>
      <c r="K149" s="2">
        <v>47794</v>
      </c>
      <c r="L149">
        <v>73</v>
      </c>
      <c r="M149" t="s">
        <v>20</v>
      </c>
      <c r="N149" t="str" cm="1">
        <f t="array" ref="N149">_xlfn.SWITCH(TRIM(PROPER(M149)), "Active", "Active", "Actv", "Active", "Left", "Left", "Resigned", "Left", "Unknown")</f>
        <v>Left</v>
      </c>
      <c r="O149" t="str">
        <f>_xlfn.XLOOKUP(L149, Lookup_Performance!$A$2:$A$6, Lookup_Performance!$C$2:$C$6, "No Score", -1)</f>
        <v>Achieving</v>
      </c>
      <c r="P149" s="11">
        <f>_xlfn.XLOOKUP(L149, Lookup_Performance!$A$2:$A$6, Lookup_Performance!$D$2:$D$6, 0, -1)</f>
        <v>0.05</v>
      </c>
      <c r="Q149" s="2">
        <f>K149*P149</f>
        <v>2389.7000000000003</v>
      </c>
    </row>
    <row r="150" spans="1:17" x14ac:dyDescent="0.25">
      <c r="A150" t="s">
        <v>258</v>
      </c>
      <c r="B150" t="s">
        <v>63</v>
      </c>
      <c r="C150" t="s">
        <v>39</v>
      </c>
      <c r="D150" t="str">
        <f t="shared" si="8"/>
        <v>James Rodriguez</v>
      </c>
      <c r="E150" t="str">
        <f>_xlfn.XLOOKUP(F150, Lookup_Departments!$A$2:$A$7, Lookup_Departments!$B$2:$B$7, "Unknown")</f>
        <v>Marketing</v>
      </c>
      <c r="F150" t="str">
        <f t="shared" si="9"/>
        <v>MKT04</v>
      </c>
      <c r="G150" t="s">
        <v>15</v>
      </c>
      <c r="H150" s="3">
        <f t="shared" si="10"/>
        <v>42677</v>
      </c>
      <c r="I150" s="21">
        <f t="shared" ca="1" si="11"/>
        <v>9</v>
      </c>
      <c r="J150" s="3" t="s">
        <v>259</v>
      </c>
      <c r="K150" s="2">
        <v>93094</v>
      </c>
      <c r="L150">
        <v>74</v>
      </c>
      <c r="M150" t="s">
        <v>11</v>
      </c>
      <c r="N150" t="str" cm="1">
        <f t="array" ref="N150">_xlfn.SWITCH(TRIM(PROPER(M150)), "Active", "Active", "Actv", "Active", "Left", "Left", "Resigned", "Left", "Unknown")</f>
        <v>Active</v>
      </c>
      <c r="O150" t="str">
        <f>_xlfn.XLOOKUP(L150, Lookup_Performance!$A$2:$A$6, Lookup_Performance!$C$2:$C$6, "No Score", -1)</f>
        <v>Achieving</v>
      </c>
      <c r="P150" s="11">
        <f>_xlfn.XLOOKUP(L150, Lookup_Performance!$A$2:$A$6, Lookup_Performance!$D$2:$D$6, 0, -1)</f>
        <v>0.05</v>
      </c>
      <c r="Q150" s="2">
        <f>K150*P150</f>
        <v>4654.7</v>
      </c>
    </row>
    <row r="151" spans="1:17" x14ac:dyDescent="0.25">
      <c r="A151" t="s">
        <v>260</v>
      </c>
      <c r="B151" t="s">
        <v>68</v>
      </c>
      <c r="C151" t="s">
        <v>9</v>
      </c>
      <c r="D151" t="str">
        <f t="shared" si="8"/>
        <v>Amanda Brown</v>
      </c>
      <c r="E151" t="str">
        <f>_xlfn.XLOOKUP(F151, Lookup_Departments!$A$2:$A$7, Lookup_Departments!$B$2:$B$7, "Unknown")</f>
        <v>Information Technology</v>
      </c>
      <c r="F151" t="str">
        <f t="shared" si="9"/>
        <v>IT02</v>
      </c>
      <c r="G151" t="s">
        <v>10</v>
      </c>
      <c r="H151" s="3">
        <f t="shared" si="10"/>
        <v>44848</v>
      </c>
      <c r="I151" s="21">
        <f t="shared" ca="1" si="11"/>
        <v>3</v>
      </c>
      <c r="J151" s="3">
        <v>44848</v>
      </c>
      <c r="K151" s="2">
        <v>118634</v>
      </c>
      <c r="L151">
        <v>91</v>
      </c>
      <c r="M151" t="s">
        <v>16</v>
      </c>
      <c r="N151" t="str" cm="1">
        <f t="array" ref="N151">_xlfn.SWITCH(TRIM(PROPER(M151)), "Active", "Active", "Actv", "Active", "Left", "Left", "Resigned", "Left", "Unknown")</f>
        <v>Active</v>
      </c>
      <c r="O151" t="str">
        <f>_xlfn.XLOOKUP(L151, Lookup_Performance!$A$2:$A$6, Lookup_Performance!$C$2:$C$6, "No Score", -1)</f>
        <v>Exceeding</v>
      </c>
      <c r="P151" s="11">
        <f>_xlfn.XLOOKUP(L151, Lookup_Performance!$A$2:$A$6, Lookup_Performance!$D$2:$D$6, 0, -1)</f>
        <v>0.08</v>
      </c>
      <c r="Q151" s="2">
        <f>K151*P151</f>
        <v>9490.7199999999993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D657-7033-4C99-AA1F-DABD9AEBE3BA}">
  <sheetPr>
    <tabColor theme="5" tint="-0.249977111117893"/>
  </sheetPr>
  <dimension ref="A2:J34"/>
  <sheetViews>
    <sheetView topLeftCell="A5" workbookViewId="0">
      <selection activeCell="B21" sqref="B21"/>
    </sheetView>
  </sheetViews>
  <sheetFormatPr defaultRowHeight="15" x14ac:dyDescent="0.25"/>
  <cols>
    <col min="1" max="1" width="13.140625" bestFit="1" customWidth="1"/>
    <col min="2" max="2" width="28.28515625" bestFit="1" customWidth="1"/>
    <col min="3" max="3" width="12.85546875" bestFit="1" customWidth="1"/>
    <col min="4" max="4" width="13.140625" bestFit="1" customWidth="1"/>
    <col min="5" max="5" width="15.28515625" bestFit="1" customWidth="1"/>
    <col min="7" max="7" width="24.5703125" bestFit="1" customWidth="1"/>
    <col min="8" max="8" width="16.28515625" bestFit="1" customWidth="1"/>
    <col min="9" max="9" width="7.140625" bestFit="1" customWidth="1"/>
    <col min="10" max="11" width="11.28515625" bestFit="1" customWidth="1"/>
  </cols>
  <sheetData>
    <row r="2" spans="1:10" x14ac:dyDescent="0.25">
      <c r="A2" s="24" t="s">
        <v>291</v>
      </c>
      <c r="B2" s="24"/>
      <c r="D2" s="24" t="s">
        <v>292</v>
      </c>
      <c r="E2" s="24"/>
      <c r="G2" s="24" t="s">
        <v>293</v>
      </c>
      <c r="H2" s="24"/>
      <c r="I2" s="24"/>
      <c r="J2" s="24"/>
    </row>
    <row r="3" spans="1:10" x14ac:dyDescent="0.25">
      <c r="A3" s="15" t="s">
        <v>287</v>
      </c>
      <c r="B3" t="s">
        <v>289</v>
      </c>
      <c r="D3" s="15" t="s">
        <v>287</v>
      </c>
      <c r="E3" t="s">
        <v>290</v>
      </c>
      <c r="G3" s="15" t="s">
        <v>289</v>
      </c>
      <c r="H3" s="15" t="s">
        <v>295</v>
      </c>
    </row>
    <row r="4" spans="1:10" x14ac:dyDescent="0.25">
      <c r="A4" s="9" t="s">
        <v>264</v>
      </c>
      <c r="B4" s="25">
        <v>36</v>
      </c>
      <c r="D4" s="9" t="s">
        <v>265</v>
      </c>
      <c r="E4" s="16">
        <v>1481951</v>
      </c>
      <c r="G4" s="15" t="s">
        <v>287</v>
      </c>
      <c r="H4" t="s">
        <v>43</v>
      </c>
      <c r="I4" t="s">
        <v>28</v>
      </c>
      <c r="J4" t="s">
        <v>288</v>
      </c>
    </row>
    <row r="5" spans="1:10" x14ac:dyDescent="0.25">
      <c r="A5" s="9" t="s">
        <v>267</v>
      </c>
      <c r="B5" s="25">
        <v>31</v>
      </c>
      <c r="D5" s="9" t="s">
        <v>263</v>
      </c>
      <c r="E5" s="16">
        <v>1539653</v>
      </c>
      <c r="G5" s="9" t="s">
        <v>265</v>
      </c>
      <c r="H5" s="17">
        <v>0.82352941176470584</v>
      </c>
      <c r="I5" s="17">
        <v>0.17647058823529413</v>
      </c>
      <c r="J5" s="17">
        <v>1</v>
      </c>
    </row>
    <row r="6" spans="1:10" x14ac:dyDescent="0.25">
      <c r="A6" s="9" t="s">
        <v>268</v>
      </c>
      <c r="B6" s="25">
        <v>29</v>
      </c>
      <c r="D6" s="9" t="s">
        <v>266</v>
      </c>
      <c r="E6" s="16">
        <v>1622751</v>
      </c>
      <c r="G6" s="9" t="s">
        <v>263</v>
      </c>
      <c r="H6" s="17">
        <v>0.83333333333333337</v>
      </c>
      <c r="I6" s="17">
        <v>0.16666666666666666</v>
      </c>
      <c r="J6" s="17">
        <v>1</v>
      </c>
    </row>
    <row r="7" spans="1:10" x14ac:dyDescent="0.25">
      <c r="A7" s="9" t="s">
        <v>266</v>
      </c>
      <c r="B7" s="25">
        <v>19</v>
      </c>
      <c r="D7" s="9" t="s">
        <v>268</v>
      </c>
      <c r="E7" s="16">
        <v>2321448</v>
      </c>
      <c r="G7" s="9" t="s">
        <v>264</v>
      </c>
      <c r="H7" s="17">
        <v>0.77777777777777779</v>
      </c>
      <c r="I7" s="17">
        <v>0.22222222222222221</v>
      </c>
      <c r="J7" s="17">
        <v>1</v>
      </c>
    </row>
    <row r="8" spans="1:10" x14ac:dyDescent="0.25">
      <c r="A8" s="9" t="s">
        <v>263</v>
      </c>
      <c r="B8" s="25">
        <v>18</v>
      </c>
      <c r="D8" s="9" t="s">
        <v>267</v>
      </c>
      <c r="E8" s="16">
        <v>2676326</v>
      </c>
      <c r="G8" s="9" t="s">
        <v>266</v>
      </c>
      <c r="H8" s="17">
        <v>0.84210526315789469</v>
      </c>
      <c r="I8" s="17">
        <v>0.15789473684210525</v>
      </c>
      <c r="J8" s="17">
        <v>1</v>
      </c>
    </row>
    <row r="9" spans="1:10" x14ac:dyDescent="0.25">
      <c r="A9" s="9" t="s">
        <v>265</v>
      </c>
      <c r="B9" s="25">
        <v>17</v>
      </c>
      <c r="D9" s="9" t="s">
        <v>264</v>
      </c>
      <c r="E9" s="16">
        <v>2898462</v>
      </c>
      <c r="G9" s="9" t="s">
        <v>268</v>
      </c>
      <c r="H9" s="17">
        <v>0.62068965517241381</v>
      </c>
      <c r="I9" s="17">
        <v>0.37931034482758619</v>
      </c>
      <c r="J9" s="17">
        <v>1</v>
      </c>
    </row>
    <row r="10" spans="1:10" x14ac:dyDescent="0.25">
      <c r="A10" s="9" t="s">
        <v>288</v>
      </c>
      <c r="B10" s="25">
        <v>150</v>
      </c>
      <c r="D10" s="9" t="s">
        <v>288</v>
      </c>
      <c r="E10" s="16">
        <v>12540591</v>
      </c>
      <c r="G10" s="9" t="s">
        <v>267</v>
      </c>
      <c r="H10" s="17">
        <v>0.80645161290322576</v>
      </c>
      <c r="I10" s="17">
        <v>0.19354838709677419</v>
      </c>
      <c r="J10" s="17">
        <v>1</v>
      </c>
    </row>
    <row r="11" spans="1:10" x14ac:dyDescent="0.25">
      <c r="B11" s="19">
        <v>150</v>
      </c>
      <c r="G11" s="9" t="s">
        <v>288</v>
      </c>
      <c r="H11" s="17">
        <v>0.77333333333333332</v>
      </c>
      <c r="I11" s="17">
        <v>0.22666666666666666</v>
      </c>
      <c r="J11" s="17">
        <v>1</v>
      </c>
    </row>
    <row r="13" spans="1:10" x14ac:dyDescent="0.25">
      <c r="A13" s="24" t="s">
        <v>296</v>
      </c>
      <c r="B13" s="24"/>
      <c r="D13" s="24" t="s">
        <v>298</v>
      </c>
      <c r="E13" s="24"/>
      <c r="G13" s="24" t="s">
        <v>300</v>
      </c>
      <c r="H13" s="24"/>
      <c r="I13" s="24"/>
      <c r="J13" s="24"/>
    </row>
    <row r="14" spans="1:10" x14ac:dyDescent="0.25">
      <c r="A14" s="15" t="s">
        <v>287</v>
      </c>
      <c r="B14" t="s">
        <v>297</v>
      </c>
      <c r="D14" s="15" t="s">
        <v>287</v>
      </c>
      <c r="E14" t="s">
        <v>299</v>
      </c>
      <c r="G14" s="15" t="s">
        <v>289</v>
      </c>
      <c r="H14" s="15" t="s">
        <v>295</v>
      </c>
    </row>
    <row r="15" spans="1:10" x14ac:dyDescent="0.25">
      <c r="A15" s="9" t="s">
        <v>43</v>
      </c>
      <c r="B15" s="12">
        <v>67.862068965517238</v>
      </c>
      <c r="D15" s="9" t="s">
        <v>275</v>
      </c>
      <c r="E15" s="16">
        <v>197912.80000000002</v>
      </c>
      <c r="G15" s="15" t="s">
        <v>287</v>
      </c>
      <c r="H15" t="s">
        <v>43</v>
      </c>
      <c r="I15" t="s">
        <v>28</v>
      </c>
      <c r="J15" t="s">
        <v>288</v>
      </c>
    </row>
    <row r="16" spans="1:10" x14ac:dyDescent="0.25">
      <c r="A16" s="9" t="s">
        <v>28</v>
      </c>
      <c r="B16" s="12">
        <v>69.264705882352942</v>
      </c>
      <c r="D16" s="9" t="s">
        <v>276</v>
      </c>
      <c r="E16" s="16">
        <v>144689.44</v>
      </c>
      <c r="G16" s="9" t="s">
        <v>275</v>
      </c>
      <c r="H16" s="17">
        <v>0.69387755102040816</v>
      </c>
      <c r="I16" s="17">
        <v>0.30612244897959184</v>
      </c>
      <c r="J16" s="17">
        <v>1</v>
      </c>
    </row>
    <row r="17" spans="1:10" x14ac:dyDescent="0.25">
      <c r="A17" s="9" t="s">
        <v>288</v>
      </c>
      <c r="B17" s="25">
        <v>68.180000000000007</v>
      </c>
      <c r="D17" s="9" t="s">
        <v>277</v>
      </c>
      <c r="E17" s="16">
        <v>92411.520000000004</v>
      </c>
      <c r="G17" s="9" t="s">
        <v>274</v>
      </c>
      <c r="H17" s="17">
        <v>0.80487804878048785</v>
      </c>
      <c r="I17" s="17">
        <v>0.1951219512195122</v>
      </c>
      <c r="J17" s="17">
        <v>1</v>
      </c>
    </row>
    <row r="18" spans="1:10" x14ac:dyDescent="0.25">
      <c r="D18" s="9" t="s">
        <v>274</v>
      </c>
      <c r="E18" s="16">
        <v>71514.940000000017</v>
      </c>
      <c r="G18" s="9" t="s">
        <v>276</v>
      </c>
      <c r="H18" s="17">
        <v>0.72727272727272729</v>
      </c>
      <c r="I18" s="17">
        <v>0.27272727272727271</v>
      </c>
      <c r="J18" s="17">
        <v>1</v>
      </c>
    </row>
    <row r="19" spans="1:10" x14ac:dyDescent="0.25">
      <c r="A19" s="24" t="s">
        <v>301</v>
      </c>
      <c r="B19" s="24"/>
      <c r="D19" s="9" t="s">
        <v>273</v>
      </c>
      <c r="E19" s="16">
        <v>0</v>
      </c>
      <c r="G19" s="9" t="s">
        <v>273</v>
      </c>
      <c r="H19" s="17">
        <v>0.8214285714285714</v>
      </c>
      <c r="I19" s="17">
        <v>0.17857142857142858</v>
      </c>
      <c r="J19" s="17">
        <v>1</v>
      </c>
    </row>
    <row r="20" spans="1:10" x14ac:dyDescent="0.25">
      <c r="A20" s="15" t="s">
        <v>287</v>
      </c>
      <c r="B20" t="s">
        <v>302</v>
      </c>
      <c r="D20" s="9" t="s">
        <v>288</v>
      </c>
      <c r="E20" s="16">
        <v>506528.70000000007</v>
      </c>
      <c r="G20" s="9" t="s">
        <v>277</v>
      </c>
      <c r="H20" s="17">
        <v>1</v>
      </c>
      <c r="I20" s="17">
        <v>0</v>
      </c>
      <c r="J20" s="17">
        <v>1</v>
      </c>
    </row>
    <row r="21" spans="1:10" x14ac:dyDescent="0.25">
      <c r="A21" s="9" t="s">
        <v>277</v>
      </c>
      <c r="B21" s="16">
        <v>77009.600000000006</v>
      </c>
      <c r="G21" s="9" t="s">
        <v>288</v>
      </c>
      <c r="H21" s="17">
        <v>0.77333333333333332</v>
      </c>
      <c r="I21" s="17">
        <v>0.22666666666666666</v>
      </c>
      <c r="J21" s="17">
        <v>1</v>
      </c>
    </row>
    <row r="22" spans="1:10" x14ac:dyDescent="0.25">
      <c r="A22" s="9" t="s">
        <v>275</v>
      </c>
      <c r="B22" s="16">
        <v>80780.734693877544</v>
      </c>
      <c r="D22" s="24" t="s">
        <v>303</v>
      </c>
      <c r="E22" s="24"/>
    </row>
    <row r="23" spans="1:10" x14ac:dyDescent="0.25">
      <c r="A23" s="9" t="s">
        <v>276</v>
      </c>
      <c r="B23" s="16">
        <v>82209.909090909088</v>
      </c>
      <c r="D23" s="15" t="s">
        <v>287</v>
      </c>
      <c r="E23" t="s">
        <v>289</v>
      </c>
      <c r="I23" s="23">
        <v>0.22666666666666666</v>
      </c>
    </row>
    <row r="24" spans="1:10" x14ac:dyDescent="0.25">
      <c r="A24" s="9" t="s">
        <v>273</v>
      </c>
      <c r="B24" s="16">
        <v>86709.78571428571</v>
      </c>
      <c r="D24" s="18">
        <v>11</v>
      </c>
      <c r="E24" s="14">
        <v>4</v>
      </c>
    </row>
    <row r="25" spans="1:10" x14ac:dyDescent="0.25">
      <c r="A25" s="9" t="s">
        <v>274</v>
      </c>
      <c r="B25" s="16">
        <v>87213.341463414632</v>
      </c>
      <c r="D25" s="18">
        <v>2</v>
      </c>
      <c r="E25" s="14">
        <v>9</v>
      </c>
      <c r="G25" s="24" t="s">
        <v>303</v>
      </c>
      <c r="H25" s="24"/>
    </row>
    <row r="26" spans="1:10" x14ac:dyDescent="0.25">
      <c r="A26" s="9" t="s">
        <v>288</v>
      </c>
      <c r="B26" s="16">
        <v>83603.94</v>
      </c>
      <c r="D26" s="18">
        <v>5</v>
      </c>
      <c r="E26" s="14">
        <v>12</v>
      </c>
      <c r="G26" t="s">
        <v>304</v>
      </c>
    </row>
    <row r="27" spans="1:10" x14ac:dyDescent="0.25">
      <c r="B27" s="22">
        <v>83603.94</v>
      </c>
      <c r="D27" s="18">
        <v>10</v>
      </c>
      <c r="E27" s="14">
        <v>14</v>
      </c>
      <c r="G27" s="14">
        <v>6.42</v>
      </c>
    </row>
    <row r="28" spans="1:10" x14ac:dyDescent="0.25">
      <c r="D28" s="18">
        <v>6</v>
      </c>
      <c r="E28" s="14">
        <v>16</v>
      </c>
      <c r="G28" s="14">
        <v>6.42</v>
      </c>
    </row>
    <row r="29" spans="1:10" x14ac:dyDescent="0.25">
      <c r="D29" s="18">
        <v>3</v>
      </c>
      <c r="E29" s="14">
        <v>16</v>
      </c>
    </row>
    <row r="30" spans="1:10" x14ac:dyDescent="0.25">
      <c r="D30" s="18">
        <v>7</v>
      </c>
      <c r="E30" s="14">
        <v>17</v>
      </c>
    </row>
    <row r="31" spans="1:10" x14ac:dyDescent="0.25">
      <c r="D31" s="18">
        <v>8</v>
      </c>
      <c r="E31" s="14">
        <v>20</v>
      </c>
    </row>
    <row r="32" spans="1:10" x14ac:dyDescent="0.25">
      <c r="D32" s="18">
        <v>4</v>
      </c>
      <c r="E32" s="14">
        <v>20</v>
      </c>
    </row>
    <row r="33" spans="4:5" x14ac:dyDescent="0.25">
      <c r="D33" s="18">
        <v>9</v>
      </c>
      <c r="E33" s="14">
        <v>22</v>
      </c>
    </row>
    <row r="34" spans="4:5" x14ac:dyDescent="0.25">
      <c r="D34" s="9" t="s">
        <v>288</v>
      </c>
      <c r="E34" s="14">
        <v>150</v>
      </c>
    </row>
  </sheetData>
  <mergeCells count="9">
    <mergeCell ref="G25:H25"/>
    <mergeCell ref="A19:B19"/>
    <mergeCell ref="D22:E22"/>
    <mergeCell ref="A2:B2"/>
    <mergeCell ref="D2:E2"/>
    <mergeCell ref="G2:J2"/>
    <mergeCell ref="A13:B13"/>
    <mergeCell ref="D13:E13"/>
    <mergeCell ref="G13:J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59CA-7158-45BE-9E13-1710B890D3F8}">
  <sheetPr>
    <tabColor theme="9" tint="-0.249977111117893"/>
  </sheetPr>
  <dimension ref="A1"/>
  <sheetViews>
    <sheetView topLeftCell="G1" workbookViewId="0">
      <selection activeCell="V21" sqref="V21"/>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DE4A-9CA7-4057-A700-783BBE87B316}">
  <sheetPr>
    <tabColor rgb="FF7678ED"/>
  </sheetPr>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Raw_Employee_Data</vt:lpstr>
      <vt:lpstr>Lookup_Departments</vt:lpstr>
      <vt:lpstr>Lookup_Performance</vt:lpstr>
      <vt:lpstr>Cleaned Data</vt:lpstr>
      <vt:lpstr>Analysis</vt:lpstr>
      <vt:lpstr>Charts</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Aleema Agbooola</cp:lastModifiedBy>
  <dcterms:created xsi:type="dcterms:W3CDTF">2026-06-04T20:20:01Z</dcterms:created>
  <dcterms:modified xsi:type="dcterms:W3CDTF">2026-07-06T13:01:11Z</dcterms:modified>
</cp:coreProperties>
</file>